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ecords" sheetId="2" state="visible" r:id="rId2"/>
    <sheet xmlns:r="http://schemas.openxmlformats.org/officeDocument/2006/relationships" name="Gap matrix" sheetId="3" state="visible" r:id="rId3"/>
    <sheet xmlns:r="http://schemas.openxmlformats.org/officeDocument/2006/relationships" name="Growth" sheetId="4" state="visible" r:id="rId4"/>
    <sheet xmlns:r="http://schemas.openxmlformats.org/officeDocument/2006/relationships" name="Emerging terms" sheetId="5" state="visible" r:id="rId5"/>
    <sheet xmlns:r="http://schemas.openxmlformats.org/officeDocument/2006/relationships" name="Landmarks by theme" sheetId="6" state="visible" r:id="rId6"/>
    <sheet xmlns:r="http://schemas.openxmlformats.org/officeDocument/2006/relationships" name="India subset" sheetId="7" state="visible" r:id="rId7"/>
    <sheet xmlns:r="http://schemas.openxmlformats.org/officeDocument/2006/relationships" name="Shortlist" sheetId="8" state="visible" r:id="rId8"/>
  </sheets>
  <definedNames>
    <definedName name="_xlnm._FilterDatabase" localSheetId="1" hidden="1">'Records'!$A$1:$AC$375</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b val="1"/>
      <color rgb="00FFFFFF"/>
    </font>
    <font>
      <b val="1"/>
      <sz val="12"/>
    </font>
    <font>
      <b val="1"/>
    </font>
    <font>
      <b val="1"/>
      <sz val="14"/>
    </font>
  </fonts>
  <fills count="4">
    <fill>
      <patternFill/>
    </fill>
    <fill>
      <patternFill patternType="gray125"/>
    </fill>
    <fill>
      <patternFill patternType="solid">
        <fgColor rgb="002F4F6F"/>
      </patternFill>
    </fill>
    <fill>
      <patternFill patternType="solid">
        <fgColor rgb="00DCE6F0"/>
      </patternFill>
    </fill>
  </fills>
  <borders count="1">
    <border>
      <left/>
      <right/>
      <top/>
      <bottom/>
      <diagonal/>
    </border>
  </borders>
  <cellStyleXfs count="1">
    <xf numFmtId="0" fontId="0" fillId="0" borderId="0"/>
  </cellStyleXfs>
  <cellXfs count="10">
    <xf numFmtId="0" fontId="0"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3" fillId="3" borderId="0" applyAlignment="1" pivotButton="0" quotePrefix="0" xfId="0">
      <alignment vertical="top" wrapText="1"/>
    </xf>
    <xf numFmtId="0" fontId="1" fillId="2" borderId="0" applyAlignment="1" pivotButton="0" quotePrefix="0" xfId="0">
      <alignment vertical="center" wrapText="1"/>
    </xf>
    <xf numFmtId="0" fontId="2" fillId="0" borderId="0" pivotButton="0" quotePrefix="0" xfId="0"/>
    <xf numFmtId="0" fontId="3" fillId="0" borderId="0" pivotButton="0" quotePrefix="0" xfId="0"/>
    <xf numFmtId="0" fontId="3" fillId="3" borderId="0" applyAlignment="1" pivotButton="0" quotePrefix="0" xfId="0">
      <alignment vertical="center" wrapText="1"/>
    </xf>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30" customWidth="1" min="1" max="1"/>
  </cols>
  <sheetData>
    <row r="1">
      <c r="A1" s="1" t="inlineStr">
        <is>
          <t>Literature map: urban, digital and urban–digital research</t>
        </is>
      </c>
    </row>
    <row r="2" ht="15" customHeight="1">
      <c r="A2" s="2" t="inlineStr">
        <is>
          <t>Stage 1 (pilot) build, 2026-10-08. 374 deduplicated records (A9: 130, B5: 117, C2: 127).</t>
        </is>
      </c>
    </row>
    <row r="3">
      <c r="A3" s="3" t="inlineStr">
        <is>
          <t>What this is</t>
        </is>
      </c>
    </row>
    <row r="4" ht="45" customHeight="1">
      <c r="A4" s="2" t="inlineStr">
        <is>
          <t>A representative, reproducible map — not a census — of three domains (A urban, B digital society, C urban × digital), 48 themes. Every record comes from an OpenAlex API response; raw responses are cached in data/raw/ of the repository. See BRIEF.md, queries.yaml, PROGRESS.md and scripts/.</t>
        </is>
      </c>
    </row>
    <row r="5">
      <c r="A5" s="3" t="inlineStr">
        <is>
          <t>Tabs</t>
        </is>
      </c>
    </row>
    <row r="6" ht="60" customHeight="1">
      <c r="A6" s="2" t="inlineStr">
        <is>
          <t>Records — one row per work (schema below). Gap matrix — live COUNTIFS of theme × region, theme × method, theme × period. Growth — OpenAlex-wide counts per theme and period. Emerging terms — Stage 3. Landmarks by theme — records from the 'landmarks' slice. India subset — India-flagged records. Shortlist — records touching current leads.</t>
        </is>
      </c>
    </row>
    <row r="7">
      <c r="A7" s="3" t="inlineStr">
        <is>
          <t>How records were found</t>
        </is>
      </c>
    </row>
    <row r="8" ht="75" customHeight="1">
      <c r="A8" s="2" t="inlineStr">
        <is>
          <t>For each theme, 2–5 queries (queries.yaml) were OR-ed and run in OpenAlex exact-phrase mode over title, abstract and keywords, in three slices: landmarks (most cited, any year, top 50; page 2 added where fewer than 40 survived screening), recent (2022–2026, relevance-ranked, top 50), India/South Asia (same queries AND South Asian place names, relevance-ranked, top 50). Searches ran through the OpenAlex connector; full records were then fetched one by one from api.openalex.org by a single throttled fetcher.</t>
        </is>
      </c>
    </row>
    <row r="9">
      <c r="A9" s="3" t="inlineStr">
        <is>
          <t>Screening</t>
        </is>
      </c>
    </row>
    <row r="10" ht="75" customHeight="1">
      <c r="A10" s="2" t="inlineStr">
        <is>
          <t>Rule-based on title + abstract: the theme's core concept must appear in the title or at least twice in the abstract, plus its context terms. One mention, a missing or stub abstract, or a technical/biomedical flag sends the record to manual review (data/screening/manual_review.csv, with a note per decision). Book reviews, errata, paratext, editorials, datasets and retracted works are excluded. Deduplicated by DOI, then by normalised title (the version with a publisher DOI and most citations is kept).</t>
        </is>
      </c>
    </row>
    <row r="11">
      <c r="A11" s="3" t="inlineStr">
        <is>
          <t>Columns that are inferred automatically (check before citing)</t>
        </is>
      </c>
    </row>
    <row r="12" ht="150" customHeight="1">
      <c r="A12" s="2" t="inlineStr">
        <is>
          <t>Places studied / Region: place names matched in title + abstract (not author affiliations). Region buckets: Global North (Europe, North America, Australia, NZ, Russia), China &amp; East Asia, South Asia, Southeast Asia (incl. Pacific islands), Africa (incl. North Africa), Latin America (incl. Caribbean), Middle East (incl. Central Asia and Caucasus); two or more buckets = Multi-region; none = Not place-specific (also used when there is no abstract). India / Delhi-NCR / Haryana flags: same matching; NCR includes Haryana NCR districts (e.g. Rohtak, Sonipat, Panipat). Method: keyword cues in the abstract; 'unclear' when there is no abstract or no cue. Landmark flag: found in the landmarks slice. Emerging flag (provisional): published 2022+ with field-weighted citation impact ≥ 1.5; Stage 3 replaces this with term-growth analysis. One-line summary and Stated gaps: sentences copied from the abstract, marked 'auto:'. Screening confidence: high = core concept in title and rule-included; medium = rule-included via abstract or kept on manual review; low = no abstract.</t>
        </is>
      </c>
    </row>
    <row r="13">
      <c r="A13" s="3" t="inlineStr">
        <is>
          <t>Known limits of the pilot</t>
        </is>
      </c>
    </row>
    <row r="14" ht="60" customHeight="1">
      <c r="A14" s="2" t="inlineStr">
        <is>
          <t>Only C2, A9 and B5 have been run; the Gap matrix shows 0 elsewhere. A record's primary theme is chosen among the themes whose searches found it, so pilot records that belong to un-run themes (e.g. A12, A13, B1) sit in a pilot theme for now. Precision on a random 50 records: see data/screening/precision_sample_stage1.csv and PROGRESS.md.</t>
        </is>
      </c>
    </row>
    <row r="15">
      <c r="A15" s="3" t="inlineStr">
        <is>
          <t>Extra columns</t>
        </is>
      </c>
    </row>
    <row r="16" ht="30" customHeight="1">
      <c r="A16" s="2" t="inlineStr">
        <is>
          <t>Found in = theme:slice combinations that returned the work; Duplicates merged = other OpenAlex IDs folded into this record; FWCI = OpenAlex field-weighted citation impact.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3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14" customWidth="1" min="3" max="3"/>
    <col width="35" customWidth="1" min="4" max="4"/>
    <col width="30" customWidth="1" min="5" max="5"/>
    <col width="14" customWidth="1" min="6" max="6"/>
    <col width="14" customWidth="1" min="7" max="7"/>
    <col width="14" customWidth="1" min="8" max="8"/>
    <col width="30" customWidth="1" min="9" max="9"/>
    <col width="30" customWidth="1" min="10" max="10"/>
    <col width="14" customWidth="1" min="11" max="11"/>
    <col width="14" customWidth="1" min="12" max="12"/>
    <col width="14" customWidth="1" min="13" max="13"/>
    <col width="14" customWidth="1" min="14" max="14"/>
    <col width="25"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60" customWidth="1" min="23" max="23"/>
    <col width="60" customWidth="1" min="24" max="24"/>
    <col width="14" customWidth="1" min="25" max="25"/>
    <col width="14" customWidth="1" min="26" max="26"/>
    <col width="30" customWidth="1" min="27" max="27"/>
    <col width="14" customWidth="1" min="28" max="28"/>
    <col width="14" customWidth="1" min="29" max="29"/>
  </cols>
  <sheetData>
    <row r="1">
      <c r="A1" s="4" t="inlineStr">
        <is>
          <t>ID</t>
        </is>
      </c>
      <c r="B1" s="4" t="inlineStr">
        <is>
          <t>Title</t>
        </is>
      </c>
      <c r="C1" s="4" t="inlineStr">
        <is>
          <t>Year</t>
        </is>
      </c>
      <c r="D1" s="4" t="inlineStr">
        <is>
          <t>Authors</t>
        </is>
      </c>
      <c r="E1" s="4" t="inlineStr">
        <is>
          <t>Venue</t>
        </is>
      </c>
      <c r="F1" s="4" t="inlineStr">
        <is>
          <t>Document type</t>
        </is>
      </c>
      <c r="G1" s="4" t="inlineStr">
        <is>
          <t>DOI</t>
        </is>
      </c>
      <c r="H1" s="4" t="inlineStr">
        <is>
          <t>OpenAlex ID</t>
        </is>
      </c>
      <c r="I1" s="4" t="inlineStr">
        <is>
          <t>Link</t>
        </is>
      </c>
      <c r="J1" s="4" t="inlineStr">
        <is>
          <t>Open-access link</t>
        </is>
      </c>
      <c r="K1" s="4" t="inlineStr">
        <is>
          <t>Cited-by count</t>
        </is>
      </c>
      <c r="L1" s="4" t="inlineStr">
        <is>
          <t>Domain</t>
        </is>
      </c>
      <c r="M1" s="4" t="inlineStr">
        <is>
          <t>Primary theme</t>
        </is>
      </c>
      <c r="N1" s="4" t="inlineStr">
        <is>
          <t>Secondary theme</t>
        </is>
      </c>
      <c r="O1" s="4" t="inlineStr">
        <is>
          <t>Places studied</t>
        </is>
      </c>
      <c r="P1" s="4" t="inlineStr">
        <is>
          <t>Region</t>
        </is>
      </c>
      <c r="Q1" s="4" t="inlineStr">
        <is>
          <t>India flag</t>
        </is>
      </c>
      <c r="R1" s="4" t="inlineStr">
        <is>
          <t>Delhi/NCR flag</t>
        </is>
      </c>
      <c r="S1" s="4" t="inlineStr">
        <is>
          <t>Haryana flag</t>
        </is>
      </c>
      <c r="T1" s="4" t="inlineStr">
        <is>
          <t>Method</t>
        </is>
      </c>
      <c r="U1" s="4" t="inlineStr">
        <is>
          <t>Landmark flag</t>
        </is>
      </c>
      <c r="V1" s="4" t="inlineStr">
        <is>
          <t>Emerging flag</t>
        </is>
      </c>
      <c r="W1" s="4" t="inlineStr">
        <is>
          <t>One-line summary</t>
        </is>
      </c>
      <c r="X1" s="4" t="inlineStr">
        <is>
          <t>Stated gaps</t>
        </is>
      </c>
      <c r="Y1" s="4" t="inlineStr">
        <is>
          <t>Shortlist tag</t>
        </is>
      </c>
      <c r="Z1" s="4" t="inlineStr">
        <is>
          <t>Screening confidence</t>
        </is>
      </c>
      <c r="AA1" s="4" t="inlineStr">
        <is>
          <t>Found in</t>
        </is>
      </c>
      <c r="AB1" s="4" t="inlineStr">
        <is>
          <t>Duplicates merged</t>
        </is>
      </c>
      <c r="AC1" s="4" t="inlineStr">
        <is>
          <t>FWCI</t>
        </is>
      </c>
    </row>
    <row r="2">
      <c r="A2" t="inlineStr">
        <is>
          <t>LM00001</t>
        </is>
      </c>
      <c r="B2" t="inlineStr">
        <is>
          <t>Notes Toward a Performative Theory of Assembly</t>
        </is>
      </c>
      <c r="C2" t="n">
        <v>2015</v>
      </c>
      <c r="D2" t="inlineStr">
        <is>
          <t>Judith Butler</t>
        </is>
      </c>
      <c r="E2" t="inlineStr">
        <is>
          <t>Harvard University Press eBooks</t>
        </is>
      </c>
      <c r="F2" t="inlineStr">
        <is>
          <t>book</t>
        </is>
      </c>
      <c r="G2" t="inlineStr">
        <is>
          <t>10.4159/9780674495548</t>
        </is>
      </c>
      <c r="H2" t="inlineStr">
        <is>
          <t>W4230180911</t>
        </is>
      </c>
      <c r="I2" t="inlineStr">
        <is>
          <t>https://doi.org/10.4159/9780674495548</t>
        </is>
      </c>
      <c r="J2" t="inlineStr"/>
      <c r="K2" t="n">
        <v>2667</v>
      </c>
      <c r="L2" t="inlineStr">
        <is>
          <t>A</t>
        </is>
      </c>
      <c r="M2" t="inlineStr">
        <is>
          <t>A9</t>
        </is>
      </c>
      <c r="N2" t="inlineStr"/>
      <c r="O2" t="inlineStr"/>
      <c r="P2" t="inlineStr">
        <is>
          <t>Not place-specific</t>
        </is>
      </c>
      <c r="Q2" t="inlineStr"/>
      <c r="R2" t="inlineStr"/>
      <c r="S2" t="inlineStr"/>
      <c r="T2" t="inlineStr">
        <is>
          <t>conceptual</t>
        </is>
      </c>
      <c r="U2" t="inlineStr">
        <is>
          <t>Y</t>
        </is>
      </c>
      <c r="V2" t="inlineStr"/>
      <c r="W2" t="inlineStr">
        <is>
          <t>auto: A Times Higher Education Book of the Week Judith Butler elucidates the dynamics of public assembly under prevailing economic and political conditions, analyzing what they signify and how.</t>
        </is>
      </c>
      <c r="X2" t="inlineStr">
        <is>
          <t>auto: It does not turn its back on the circumstances of the material world or give any succour to those who wish to view the present (and the future) through the lens of fantasies about the transformative possibilities offered by conventional politics Butler demonstrates a clear engagement with an aspect of the world that is becoming in many political contexts almost illicit to discuss: the idea that capitalism, certainly in its neoliberal form, is failing to provide a liveable life for the majorit…</t>
        </is>
      </c>
      <c r="Y2" t="inlineStr"/>
      <c r="Z2" t="inlineStr">
        <is>
          <t>medium</t>
        </is>
      </c>
      <c r="AA2" t="inlineStr">
        <is>
          <t>A9:landmarks</t>
        </is>
      </c>
      <c r="AB2" t="inlineStr"/>
      <c r="AC2" t="n">
        <v>267.4199</v>
      </c>
    </row>
    <row r="3">
      <c r="A3" t="inlineStr">
        <is>
          <t>LM00002</t>
        </is>
      </c>
      <c r="B3" t="inlineStr">
        <is>
          <t>Systematic Social Observation of Public Spaces: A New Look at Disorder in Urban Neighborhoods</t>
        </is>
      </c>
      <c r="C3" t="n">
        <v>1999</v>
      </c>
      <c r="D3" t="inlineStr">
        <is>
          <t>Robert J. Sampson; Stephen W. Raudenbush</t>
        </is>
      </c>
      <c r="E3" t="inlineStr">
        <is>
          <t>American Journal of Sociology</t>
        </is>
      </c>
      <c r="F3" t="inlineStr">
        <is>
          <t>article</t>
        </is>
      </c>
      <c r="G3" t="inlineStr">
        <is>
          <t>10.1086/210356</t>
        </is>
      </c>
      <c r="H3" t="inlineStr">
        <is>
          <t>W2153492338</t>
        </is>
      </c>
      <c r="I3" t="inlineStr">
        <is>
          <t>https://doi.org/10.1086/210356</t>
        </is>
      </c>
      <c r="J3" t="inlineStr">
        <is>
          <t>https://www.journals.uchicago.edu/doi/epdf/10.1086/210356</t>
        </is>
      </c>
      <c r="K3" t="n">
        <v>2500</v>
      </c>
      <c r="L3" t="inlineStr">
        <is>
          <t>A</t>
        </is>
      </c>
      <c r="M3" t="inlineStr">
        <is>
          <t>A9</t>
        </is>
      </c>
      <c r="N3" t="inlineStr"/>
      <c r="O3" t="inlineStr">
        <is>
          <t>United States</t>
        </is>
      </c>
      <c r="P3" t="inlineStr">
        <is>
          <t>Global North</t>
        </is>
      </c>
      <c r="Q3" t="inlineStr"/>
      <c r="R3" t="inlineStr"/>
      <c r="S3" t="inlineStr"/>
      <c r="T3" t="inlineStr">
        <is>
          <t>qualitative</t>
        </is>
      </c>
      <c r="U3" t="inlineStr">
        <is>
          <t>Y</t>
        </is>
      </c>
      <c r="V3" t="inlineStr"/>
      <c r="W3" t="inlineStr">
        <is>
          <t>auto: American Journal of Sociology such as verbal harassment on the street, open solicitation for prostitution, public intoxication, and rowdy groups of young males in public.By physical disorder, we refer to the deterioration of urban landscapes, for example, graffiti on buildings, abandoned cars, br…</t>
        </is>
      </c>
      <c r="X3" t="inlineStr"/>
      <c r="Y3" t="inlineStr"/>
      <c r="Z3" t="inlineStr">
        <is>
          <t>high</t>
        </is>
      </c>
      <c r="AA3" t="inlineStr">
        <is>
          <t>A9:landmarks</t>
        </is>
      </c>
      <c r="AB3" t="inlineStr"/>
      <c r="AC3" t="n">
        <v>84.3608</v>
      </c>
    </row>
    <row r="4">
      <c r="A4" t="inlineStr">
        <is>
          <t>LM00003</t>
        </is>
      </c>
      <c r="B4" t="inlineStr">
        <is>
          <t>Sex in Public</t>
        </is>
      </c>
      <c r="C4" t="n">
        <v>1998</v>
      </c>
      <c r="D4" t="inlineStr">
        <is>
          <t>Lauren Berlant; Michael Warner</t>
        </is>
      </c>
      <c r="E4" t="inlineStr">
        <is>
          <t>Critical Inquiry</t>
        </is>
      </c>
      <c r="F4" t="inlineStr">
        <is>
          <t>article</t>
        </is>
      </c>
      <c r="G4" t="inlineStr">
        <is>
          <t>10.1086/448884</t>
        </is>
      </c>
      <c r="H4" t="inlineStr">
        <is>
          <t>W1978289341</t>
        </is>
      </c>
      <c r="I4" t="inlineStr">
        <is>
          <t>https://doi.org/10.1086/448884</t>
        </is>
      </c>
      <c r="J4" t="inlineStr"/>
      <c r="K4" t="n">
        <v>2012</v>
      </c>
      <c r="L4" t="inlineStr">
        <is>
          <t>A</t>
        </is>
      </c>
      <c r="M4" t="inlineStr">
        <is>
          <t>A9</t>
        </is>
      </c>
      <c r="N4" t="inlineStr"/>
      <c r="O4" t="inlineStr"/>
      <c r="P4" t="inlineStr">
        <is>
          <t>Not place-specific</t>
        </is>
      </c>
      <c r="Q4" t="inlineStr"/>
      <c r="R4" t="inlineStr"/>
      <c r="S4" t="inlineStr"/>
      <c r="T4" t="inlineStr">
        <is>
          <t>unclear</t>
        </is>
      </c>
      <c r="U4" t="inlineStr">
        <is>
          <t>Y</t>
        </is>
      </c>
      <c r="V4" t="inlineStr"/>
      <c r="W4" t="inlineStr"/>
      <c r="X4" t="inlineStr"/>
      <c r="Y4" t="inlineStr"/>
      <c r="Z4" t="inlineStr">
        <is>
          <t>low</t>
        </is>
      </c>
      <c r="AA4" t="inlineStr">
        <is>
          <t>A9:landmarks</t>
        </is>
      </c>
      <c r="AB4" t="inlineStr"/>
      <c r="AC4" t="n">
        <v>22.8851</v>
      </c>
    </row>
    <row r="5">
      <c r="A5" t="inlineStr">
        <is>
          <t>LM00004</t>
        </is>
      </c>
      <c r="B5" t="inlineStr">
        <is>
          <t>The social life of small urban spaces</t>
        </is>
      </c>
      <c r="C5" t="n">
        <v>1980</v>
      </c>
      <c r="D5" t="inlineStr">
        <is>
          <t>William H. Whyte</t>
        </is>
      </c>
      <c r="E5" t="inlineStr">
        <is>
          <t>Medical Entomology and Zoology</t>
        </is>
      </c>
      <c r="F5" t="inlineStr">
        <is>
          <t>book</t>
        </is>
      </c>
      <c r="G5" t="inlineStr"/>
      <c r="H5" t="inlineStr">
        <is>
          <t>W1538435250</t>
        </is>
      </c>
      <c r="I5" t="inlineStr">
        <is>
          <t>http://ci.nii.ac.jp/ncid/BA00601503</t>
        </is>
      </c>
      <c r="J5" t="inlineStr"/>
      <c r="K5" t="n">
        <v>1947</v>
      </c>
      <c r="L5" t="inlineStr">
        <is>
          <t>A</t>
        </is>
      </c>
      <c r="M5" t="inlineStr">
        <is>
          <t>A9</t>
        </is>
      </c>
      <c r="N5" t="inlineStr"/>
      <c r="O5" t="inlineStr"/>
      <c r="P5" t="inlineStr">
        <is>
          <t>Not place-specific</t>
        </is>
      </c>
      <c r="Q5" t="inlineStr"/>
      <c r="R5" t="inlineStr"/>
      <c r="S5" t="inlineStr"/>
      <c r="T5" t="inlineStr">
        <is>
          <t>unclear</t>
        </is>
      </c>
      <c r="U5" t="inlineStr">
        <is>
          <t>Y</t>
        </is>
      </c>
      <c r="V5" t="inlineStr"/>
      <c r="W5" t="inlineStr"/>
      <c r="X5" t="inlineStr"/>
      <c r="Y5" t="inlineStr"/>
      <c r="Z5" t="inlineStr">
        <is>
          <t>low</t>
        </is>
      </c>
      <c r="AA5" t="inlineStr">
        <is>
          <t>A9:landmarks</t>
        </is>
      </c>
      <c r="AB5" t="inlineStr"/>
      <c r="AC5" t="n">
        <v>24.881</v>
      </c>
    </row>
    <row r="6">
      <c r="A6" t="inlineStr">
        <is>
          <t>LM00005</t>
        </is>
      </c>
      <c r="B6" t="inlineStr">
        <is>
          <t>Making a city: Urbanity, vitality and urban design</t>
        </is>
      </c>
      <c r="C6" t="n">
        <v>1998</v>
      </c>
      <c r="D6" t="inlineStr">
        <is>
          <t>John Montgomery</t>
        </is>
      </c>
      <c r="E6" t="inlineStr">
        <is>
          <t>Journal of Urban Design</t>
        </is>
      </c>
      <c r="F6" t="inlineStr">
        <is>
          <t>article</t>
        </is>
      </c>
      <c r="G6" t="inlineStr">
        <is>
          <t>10.1080/13574809808724418</t>
        </is>
      </c>
      <c r="H6" t="inlineStr">
        <is>
          <t>W2016802582</t>
        </is>
      </c>
      <c r="I6" t="inlineStr">
        <is>
          <t>https://doi.org/10.1080/13574809808724418</t>
        </is>
      </c>
      <c r="J6" t="inlineStr"/>
      <c r="K6" t="n">
        <v>1291</v>
      </c>
      <c r="L6" t="inlineStr">
        <is>
          <t>A</t>
        </is>
      </c>
      <c r="M6" t="inlineStr">
        <is>
          <t>A9</t>
        </is>
      </c>
      <c r="N6" t="inlineStr"/>
      <c r="O6" t="inlineStr">
        <is>
          <t>European; United Kingdom</t>
        </is>
      </c>
      <c r="P6" t="inlineStr">
        <is>
          <t>Global North</t>
        </is>
      </c>
      <c r="Q6" t="inlineStr"/>
      <c r="R6" t="inlineStr"/>
      <c r="S6" t="inlineStr"/>
      <c r="T6" t="inlineStr">
        <is>
          <t>conceptual</t>
        </is>
      </c>
      <c r="U6" t="inlineStr">
        <is>
          <t>Y</t>
        </is>
      </c>
      <c r="V6" t="inlineStr"/>
      <c r="W6" t="inlineStr">
        <is>
          <t>auto: This paper argues that the city is a phenomenon of structured complexity.</t>
        </is>
      </c>
      <c r="X6" t="inlineStr"/>
      <c r="Y6" t="inlineStr"/>
      <c r="Z6" t="inlineStr">
        <is>
          <t>medium</t>
        </is>
      </c>
      <c r="AA6" t="inlineStr">
        <is>
          <t>A9:landmarks</t>
        </is>
      </c>
      <c r="AB6" t="inlineStr"/>
      <c r="AC6" t="n">
        <v>4.4398</v>
      </c>
    </row>
    <row r="7">
      <c r="A7" t="inlineStr">
        <is>
          <t>LM00006</t>
        </is>
      </c>
      <c r="B7" t="inlineStr">
        <is>
          <t>Life between buildings: Using public space</t>
        </is>
      </c>
      <c r="C7" t="n">
        <v>1980</v>
      </c>
      <c r="D7" t="inlineStr">
        <is>
          <t>Jan Gehl</t>
        </is>
      </c>
      <c r="E7" t="inlineStr"/>
      <c r="F7" t="inlineStr">
        <is>
          <t>article</t>
        </is>
      </c>
      <c r="G7" t="inlineStr"/>
      <c r="H7" t="inlineStr">
        <is>
          <t>W1551116468</t>
        </is>
      </c>
      <c r="I7" t="inlineStr">
        <is>
          <t>https://bvbr.bib-bvb.de:443/F?func=service&amp;doc_library=BVB01&amp;local_base=BVB01&amp;doc_number=022616273&amp;sequence=000001&amp;line_number=0001&amp;func_code=DB_RECORDS&amp;service_type=MEDIA</t>
        </is>
      </c>
      <c r="J7" t="inlineStr"/>
      <c r="K7" t="n">
        <v>1152</v>
      </c>
      <c r="L7" t="inlineStr">
        <is>
          <t>A</t>
        </is>
      </c>
      <c r="M7" t="inlineStr">
        <is>
          <t>A9</t>
        </is>
      </c>
      <c r="N7" t="inlineStr"/>
      <c r="O7" t="inlineStr">
        <is>
          <t>Denmark</t>
        </is>
      </c>
      <c r="P7" t="inlineStr">
        <is>
          <t>Global North</t>
        </is>
      </c>
      <c r="Q7" t="inlineStr"/>
      <c r="R7" t="inlineStr"/>
      <c r="S7" t="inlineStr"/>
      <c r="T7" t="inlineStr">
        <is>
          <t>unclear</t>
        </is>
      </c>
      <c r="U7" t="inlineStr">
        <is>
          <t>Y</t>
        </is>
      </c>
      <c r="V7" t="inlineStr"/>
      <c r="W7" t="inlineStr">
        <is>
          <t>auto: The first Danish language version of this book, published in 1971, was very much a protest against the functionalistic principles for planning cities and residential areas that prevailed during that period.</t>
        </is>
      </c>
      <c r="X7" t="inlineStr"/>
      <c r="Y7" t="inlineStr"/>
      <c r="Z7" t="inlineStr">
        <is>
          <t>high</t>
        </is>
      </c>
      <c r="AA7" t="inlineStr">
        <is>
          <t>A9:landmarks</t>
        </is>
      </c>
      <c r="AB7" t="inlineStr"/>
      <c r="AC7" t="n">
        <v>0</v>
      </c>
    </row>
    <row r="8">
      <c r="A8" t="inlineStr">
        <is>
          <t>LM00007</t>
        </is>
      </c>
      <c r="B8" t="inlineStr">
        <is>
          <t>Variations on a Theme Park: The New American City and the End of Public Space</t>
        </is>
      </c>
      <c r="C8" t="n">
        <v>1994</v>
      </c>
      <c r="D8" t="inlineStr">
        <is>
          <t>Teresa P. R. Caldeira; Michael Sorkin</t>
        </is>
      </c>
      <c r="E8" t="inlineStr">
        <is>
          <t>Journal of Architectural Education</t>
        </is>
      </c>
      <c r="F8" t="inlineStr">
        <is>
          <t>article</t>
        </is>
      </c>
      <c r="G8" t="inlineStr">
        <is>
          <t>10.2307/1425310</t>
        </is>
      </c>
      <c r="H8" t="inlineStr">
        <is>
          <t>W4247994973</t>
        </is>
      </c>
      <c r="I8" t="inlineStr">
        <is>
          <t>https://doi.org/10.2307/1425310</t>
        </is>
      </c>
      <c r="J8" t="inlineStr"/>
      <c r="K8" t="n">
        <v>903</v>
      </c>
      <c r="L8" t="inlineStr">
        <is>
          <t>A</t>
        </is>
      </c>
      <c r="M8" t="inlineStr">
        <is>
          <t>A9</t>
        </is>
      </c>
      <c r="N8" t="inlineStr"/>
      <c r="O8" t="inlineStr">
        <is>
          <t>United States</t>
        </is>
      </c>
      <c r="P8" t="inlineStr">
        <is>
          <t>Global North</t>
        </is>
      </c>
      <c r="Q8" t="inlineStr"/>
      <c r="R8" t="inlineStr"/>
      <c r="S8" t="inlineStr"/>
      <c r="T8" t="inlineStr">
        <is>
          <t>unclear</t>
        </is>
      </c>
      <c r="U8" t="inlineStr">
        <is>
          <t>Y</t>
        </is>
      </c>
      <c r="V8" t="inlineStr"/>
      <c r="W8" t="inlineStr"/>
      <c r="X8" t="inlineStr"/>
      <c r="Y8" t="inlineStr"/>
      <c r="Z8" t="inlineStr">
        <is>
          <t>low</t>
        </is>
      </c>
      <c r="AA8" t="inlineStr">
        <is>
          <t>A9:landmarks</t>
        </is>
      </c>
      <c r="AB8" t="inlineStr"/>
      <c r="AC8" t="n">
        <v>550.9141</v>
      </c>
    </row>
    <row r="9">
      <c r="A9" t="inlineStr">
        <is>
          <t>LM00008</t>
        </is>
      </c>
      <c r="B9" t="inlineStr">
        <is>
          <t>Semiotic Landscapes: Language, Image, Space</t>
        </is>
      </c>
      <c r="C9" t="n">
        <v>2010</v>
      </c>
      <c r="D9" t="inlineStr">
        <is>
          <t>Adam Jaworski; Crispin Thurlow</t>
        </is>
      </c>
      <c r="E9" t="inlineStr"/>
      <c r="F9" t="inlineStr">
        <is>
          <t>article</t>
        </is>
      </c>
      <c r="G9" t="inlineStr"/>
      <c r="H9" t="inlineStr">
        <is>
          <t>W2127262410</t>
        </is>
      </c>
      <c r="I9" t="inlineStr">
        <is>
          <t>http://bvbr.bib-bvb.de:8991/F?func=service&amp;amp;doc_library=BVB01&amp;amp;local_base=BVB01&amp;amp;doc_number=020309632&amp;amp;sequence=000001&amp;amp;line_number=0001&amp;amp;func_code=DB_RECORDS&amp;amp;service_type=MEDIA</t>
        </is>
      </c>
      <c r="J9" t="inlineStr"/>
      <c r="K9" t="n">
        <v>894</v>
      </c>
      <c r="L9" t="inlineStr">
        <is>
          <t>A</t>
        </is>
      </c>
      <c r="M9" t="inlineStr">
        <is>
          <t>A9</t>
        </is>
      </c>
      <c r="N9" t="inlineStr"/>
      <c r="O9" t="inlineStr">
        <is>
          <t>Australia; Dublin; Edinburgh; Hong Kong; Ireland; Israel; Jamaica; Switzerland; Sydney; Tel Aviv; United Kingdom; United States</t>
        </is>
      </c>
      <c r="P9" t="inlineStr">
        <is>
          <t>Multi-region</t>
        </is>
      </c>
      <c r="Q9" t="inlineStr"/>
      <c r="R9" t="inlineStr"/>
      <c r="S9" t="inlineStr"/>
      <c r="T9" t="inlineStr">
        <is>
          <t>conceptual</t>
        </is>
      </c>
      <c r="U9" t="inlineStr">
        <is>
          <t>Y</t>
        </is>
      </c>
      <c r="V9" t="inlineStr"/>
      <c r="W9" t="inlineStr">
        <is>
          <t>auto: Introduction, Adam Jaworski and Crispin Thurlow 1.</t>
        </is>
      </c>
      <c r="X9" t="inlineStr"/>
      <c r="Y9" t="inlineStr"/>
      <c r="Z9" t="inlineStr">
        <is>
          <t>medium</t>
        </is>
      </c>
      <c r="AA9" t="inlineStr">
        <is>
          <t>A9:landmarks</t>
        </is>
      </c>
      <c r="AB9" t="inlineStr"/>
      <c r="AC9" t="n">
        <v>87.63339999999999</v>
      </c>
    </row>
    <row r="10">
      <c r="A10" t="inlineStr">
        <is>
          <t>LM00009</t>
        </is>
      </c>
      <c r="B10" t="inlineStr">
        <is>
          <t>Urban planning and quality of life: A review of pathways linking the built environment to subjective well-being</t>
        </is>
      </c>
      <c r="C10" t="n">
        <v>2021</v>
      </c>
      <c r="D10" t="inlineStr">
        <is>
          <t>Kostas Mouratidis</t>
        </is>
      </c>
      <c r="E10" t="inlineStr">
        <is>
          <t>Cities</t>
        </is>
      </c>
      <c r="F10" t="inlineStr">
        <is>
          <t>article</t>
        </is>
      </c>
      <c r="G10" t="inlineStr">
        <is>
          <t>10.1016/j.cities.2021.103229</t>
        </is>
      </c>
      <c r="H10" t="inlineStr">
        <is>
          <t>W3157547930</t>
        </is>
      </c>
      <c r="I10" t="inlineStr">
        <is>
          <t>https://doi.org/10.1016/j.cities.2021.103229</t>
        </is>
      </c>
      <c r="J10" t="inlineStr">
        <is>
          <t>https://www.sciencedirect.com/science/article/pii/S0264275121001293/pdf</t>
        </is>
      </c>
      <c r="K10" t="n">
        <v>886</v>
      </c>
      <c r="L10" t="inlineStr">
        <is>
          <t>A</t>
        </is>
      </c>
      <c r="M10" t="inlineStr">
        <is>
          <t>A9</t>
        </is>
      </c>
      <c r="N10" t="inlineStr"/>
      <c r="O10" t="inlineStr"/>
      <c r="P10" t="inlineStr">
        <is>
          <t>Not place-specific</t>
        </is>
      </c>
      <c r="Q10" t="inlineStr"/>
      <c r="R10" t="inlineStr"/>
      <c r="S10" t="inlineStr"/>
      <c r="T10" t="inlineStr">
        <is>
          <t>unclear</t>
        </is>
      </c>
      <c r="U10" t="inlineStr">
        <is>
          <t>Y</t>
        </is>
      </c>
      <c r="V10" t="inlineStr"/>
      <c r="W10" t="inlineStr">
        <is>
          <t>auto: This paper reviews the evidence on the range of pathways linking the built environment to subjective well-being.</t>
        </is>
      </c>
      <c r="X10" t="inlineStr"/>
      <c r="Y10" t="inlineStr"/>
      <c r="Z10" t="inlineStr">
        <is>
          <t>medium</t>
        </is>
      </c>
      <c r="AA10" t="inlineStr">
        <is>
          <t>A9:landmarks</t>
        </is>
      </c>
      <c r="AB10" t="inlineStr"/>
      <c r="AC10" t="n">
        <v>78.4567</v>
      </c>
    </row>
    <row r="11">
      <c r="A11" t="inlineStr">
        <is>
          <t>LM00010</t>
        </is>
      </c>
      <c r="B11" t="inlineStr">
        <is>
          <t>Linguistic Landscape as Symbolic Construction of the Public Space: The Case of Israel</t>
        </is>
      </c>
      <c r="C11" t="n">
        <v>2006</v>
      </c>
      <c r="D11" t="inlineStr">
        <is>
          <t>Eliezer Ben‐Rafael; Elana Shohamy; Muhammad Hasan Amara; Nira Trumper-Hecht</t>
        </is>
      </c>
      <c r="E11" t="inlineStr">
        <is>
          <t>International Journal of Multilingualism</t>
        </is>
      </c>
      <c r="F11" t="inlineStr">
        <is>
          <t>article</t>
        </is>
      </c>
      <c r="G11" t="inlineStr">
        <is>
          <t>10.1080/14790710608668383</t>
        </is>
      </c>
      <c r="H11" t="inlineStr">
        <is>
          <t>W2089285733</t>
        </is>
      </c>
      <c r="I11" t="inlineStr">
        <is>
          <t>https://doi.org/10.1080/14790710608668383</t>
        </is>
      </c>
      <c r="J11" t="inlineStr"/>
      <c r="K11" t="n">
        <v>882</v>
      </c>
      <c r="L11" t="inlineStr">
        <is>
          <t>A</t>
        </is>
      </c>
      <c r="M11" t="inlineStr">
        <is>
          <t>A9</t>
        </is>
      </c>
      <c r="N11" t="inlineStr"/>
      <c r="O11" t="inlineStr">
        <is>
          <t>Israel; Jerusalem; Palestine</t>
        </is>
      </c>
      <c r="P11" t="inlineStr">
        <is>
          <t>Middle East</t>
        </is>
      </c>
      <c r="Q11" t="inlineStr"/>
      <c r="R11" t="inlineStr"/>
      <c r="S11" t="inlineStr"/>
      <c r="T11" t="inlineStr">
        <is>
          <t>qualitative</t>
        </is>
      </c>
      <c r="U11" t="inlineStr">
        <is>
          <t>Y</t>
        </is>
      </c>
      <c r="V11" t="inlineStr"/>
      <c r="W11" t="inlineStr">
        <is>
          <t>auto: This paper compares patterns of LL in a variety of homogeneous and mixed Israeli cities, and in East Jerusalem.</t>
        </is>
      </c>
      <c r="X11" t="inlineStr"/>
      <c r="Y11" t="inlineStr"/>
      <c r="Z11" t="inlineStr">
        <is>
          <t>high</t>
        </is>
      </c>
      <c r="AA11" t="inlineStr">
        <is>
          <t>A9:landmarks</t>
        </is>
      </c>
      <c r="AB11" t="inlineStr"/>
      <c r="AC11" t="n">
        <v>38.7205</v>
      </c>
    </row>
    <row r="12">
      <c r="A12" t="inlineStr">
        <is>
          <t>LM00011</t>
        </is>
      </c>
      <c r="B12" t="inlineStr">
        <is>
          <t>City of Walls: Crime, Segregation, and Citizenship in São Paulo</t>
        </is>
      </c>
      <c r="C12" t="n">
        <v>2000</v>
      </c>
      <c r="D12" t="inlineStr">
        <is>
          <t>Teresa Pires do Rio Caldeira</t>
        </is>
      </c>
      <c r="E12" t="inlineStr">
        <is>
          <t>Medical Entomology and Zoology</t>
        </is>
      </c>
      <c r="F12" t="inlineStr">
        <is>
          <t>book</t>
        </is>
      </c>
      <c r="G12" t="inlineStr"/>
      <c r="H12" t="inlineStr">
        <is>
          <t>W1981970169</t>
        </is>
      </c>
      <c r="I12" t="inlineStr">
        <is>
          <t>http://ci.nii.ac.jp/ncid/BA5260243X</t>
        </is>
      </c>
      <c r="J12" t="inlineStr"/>
      <c r="K12" t="n">
        <v>846</v>
      </c>
      <c r="L12" t="inlineStr">
        <is>
          <t>A</t>
        </is>
      </c>
      <c r="M12" t="inlineStr">
        <is>
          <t>A9</t>
        </is>
      </c>
      <c r="N12" t="inlineStr"/>
      <c r="O12" t="inlineStr">
        <is>
          <t>Brazil; Los Angeles; Sao Paulo; São Paulo</t>
        </is>
      </c>
      <c r="P12" t="inlineStr">
        <is>
          <t>Multi-region</t>
        </is>
      </c>
      <c r="Q12" t="inlineStr"/>
      <c r="R12" t="inlineStr"/>
      <c r="S12" t="inlineStr"/>
      <c r="T12" t="inlineStr">
        <is>
          <t>conceptual</t>
        </is>
      </c>
      <c r="U12" t="inlineStr">
        <is>
          <t>Y</t>
        </is>
      </c>
      <c r="V12" t="inlineStr"/>
      <c r="W12" t="inlineStr">
        <is>
          <t>auto: List of Maps, Illustrations, and Tables Acknowledgments Abbreviations Introduction: Anthropology with an Accent PART ONE: The Talk of Crime 1.</t>
        </is>
      </c>
      <c r="X12" t="inlineStr"/>
      <c r="Y12" t="inlineStr"/>
      <c r="Z12" t="inlineStr">
        <is>
          <t>high</t>
        </is>
      </c>
      <c r="AA12" t="inlineStr">
        <is>
          <t>A9:landmarks</t>
        </is>
      </c>
      <c r="AB12" t="inlineStr"/>
      <c r="AC12" t="n">
        <v>17.1705</v>
      </c>
    </row>
    <row r="13">
      <c r="A13" t="inlineStr">
        <is>
          <t>LM00012</t>
        </is>
      </c>
      <c r="B13" t="inlineStr">
        <is>
          <t>The Annihilation of Space by Law: The Roots and Implications of Anti‐Homeless Laws in the United States</t>
        </is>
      </c>
      <c r="C13" t="n">
        <v>1997</v>
      </c>
      <c r="D13" t="inlineStr">
        <is>
          <t>Don Mitchell</t>
        </is>
      </c>
      <c r="E13" t="inlineStr">
        <is>
          <t>Antipode</t>
        </is>
      </c>
      <c r="F13" t="inlineStr">
        <is>
          <t>article</t>
        </is>
      </c>
      <c r="G13" t="inlineStr">
        <is>
          <t>10.1111/1467-8330.00048</t>
        </is>
      </c>
      <c r="H13" t="inlineStr">
        <is>
          <t>W2063046680</t>
        </is>
      </c>
      <c r="I13" t="inlineStr">
        <is>
          <t>https://doi.org/10.1111/1467-8330.00048</t>
        </is>
      </c>
      <c r="J13" t="inlineStr">
        <is>
          <t>https://onlinelibrary.wiley.com/doi/pdfdirect/10.1111/1467-8330.00048</t>
        </is>
      </c>
      <c r="K13" t="n">
        <v>699</v>
      </c>
      <c r="L13" t="inlineStr">
        <is>
          <t>A</t>
        </is>
      </c>
      <c r="M13" t="inlineStr">
        <is>
          <t>A9</t>
        </is>
      </c>
      <c r="N13" t="inlineStr"/>
      <c r="O13" t="inlineStr">
        <is>
          <t>United States</t>
        </is>
      </c>
      <c r="P13" t="inlineStr">
        <is>
          <t>Global North</t>
        </is>
      </c>
      <c r="Q13" t="inlineStr"/>
      <c r="R13" t="inlineStr"/>
      <c r="S13" t="inlineStr"/>
      <c r="T13" t="inlineStr">
        <is>
          <t>unclear</t>
        </is>
      </c>
      <c r="U13" t="inlineStr">
        <is>
          <t>Y</t>
        </is>
      </c>
      <c r="V13" t="inlineStr"/>
      <c r="W13" t="inlineStr">
        <is>
          <t>auto: There is a link between changes in the contemporary political economy and the criminalization of homelessness.</t>
        </is>
      </c>
      <c r="X13" t="inlineStr"/>
      <c r="Y13" t="inlineStr"/>
      <c r="Z13" t="inlineStr">
        <is>
          <t>medium</t>
        </is>
      </c>
      <c r="AA13" t="inlineStr">
        <is>
          <t>A9:landmarks</t>
        </is>
      </c>
      <c r="AB13" t="inlineStr"/>
      <c r="AC13" t="n">
        <v>15.8111</v>
      </c>
    </row>
    <row r="14">
      <c r="A14" t="inlineStr">
        <is>
          <t>LM00013</t>
        </is>
      </c>
      <c r="B14" t="inlineStr">
        <is>
          <t>Urban open space in the 21st century</t>
        </is>
      </c>
      <c r="C14" t="n">
        <v>2002</v>
      </c>
      <c r="D14" t="inlineStr">
        <is>
          <t>Catharine Ward Thompson</t>
        </is>
      </c>
      <c r="E14" t="inlineStr">
        <is>
          <t>Landscape and Urban Planning</t>
        </is>
      </c>
      <c r="F14" t="inlineStr">
        <is>
          <t>article</t>
        </is>
      </c>
      <c r="G14" t="inlineStr">
        <is>
          <t>10.1016/s0169-2046(02)00059-2</t>
        </is>
      </c>
      <c r="H14" t="inlineStr">
        <is>
          <t>W2170523061</t>
        </is>
      </c>
      <c r="I14" t="inlineStr">
        <is>
          <t>https://doi.org/10.1016/s0169-2046(02)00059-2</t>
        </is>
      </c>
      <c r="J14" t="inlineStr"/>
      <c r="K14" t="n">
        <v>698</v>
      </c>
      <c r="L14" t="inlineStr">
        <is>
          <t>A</t>
        </is>
      </c>
      <c r="M14" t="inlineStr">
        <is>
          <t>A9</t>
        </is>
      </c>
      <c r="N14" t="inlineStr"/>
      <c r="O14" t="inlineStr"/>
      <c r="P14" t="inlineStr">
        <is>
          <t>Not place-specific</t>
        </is>
      </c>
      <c r="Q14" t="inlineStr"/>
      <c r="R14" t="inlineStr"/>
      <c r="S14" t="inlineStr"/>
      <c r="T14" t="inlineStr">
        <is>
          <t>unclear</t>
        </is>
      </c>
      <c r="U14" t="inlineStr">
        <is>
          <t>Y</t>
        </is>
      </c>
      <c r="V14" t="inlineStr"/>
      <c r="W14" t="inlineStr"/>
      <c r="X14" t="inlineStr"/>
      <c r="Y14" t="inlineStr"/>
      <c r="Z14" t="inlineStr">
        <is>
          <t>low</t>
        </is>
      </c>
      <c r="AA14" t="inlineStr">
        <is>
          <t>A9:landmarks</t>
        </is>
      </c>
      <c r="AB14" t="inlineStr"/>
      <c r="AC14" t="n">
        <v>5.2301</v>
      </c>
    </row>
    <row r="15">
      <c r="A15" t="inlineStr">
        <is>
          <t>LM00014</t>
        </is>
      </c>
      <c r="B15" t="inlineStr">
        <is>
          <t>Collective culture and urban public space</t>
        </is>
      </c>
      <c r="C15" t="n">
        <v>2008</v>
      </c>
      <c r="D15" t="inlineStr">
        <is>
          <t>Ash Amin</t>
        </is>
      </c>
      <c r="E15" t="inlineStr">
        <is>
          <t>City</t>
        </is>
      </c>
      <c r="F15" t="inlineStr">
        <is>
          <t>article</t>
        </is>
      </c>
      <c r="G15" t="inlineStr">
        <is>
          <t>10.1080/13604810801933495</t>
        </is>
      </c>
      <c r="H15" t="inlineStr">
        <is>
          <t>W1979558360</t>
        </is>
      </c>
      <c r="I15" t="inlineStr">
        <is>
          <t>https://doi.org/10.1080/13604810801933495</t>
        </is>
      </c>
      <c r="J15" t="inlineStr"/>
      <c r="K15" t="n">
        <v>688</v>
      </c>
      <c r="L15" t="inlineStr">
        <is>
          <t>A</t>
        </is>
      </c>
      <c r="M15" t="inlineStr">
        <is>
          <t>A9</t>
        </is>
      </c>
      <c r="N15" t="inlineStr"/>
      <c r="O15" t="inlineStr"/>
      <c r="P15" t="inlineStr">
        <is>
          <t>Not place-specific</t>
        </is>
      </c>
      <c r="Q15" t="inlineStr"/>
      <c r="R15" t="inlineStr"/>
      <c r="S15" t="inlineStr"/>
      <c r="T15" t="inlineStr">
        <is>
          <t>unclear</t>
        </is>
      </c>
      <c r="U15" t="inlineStr">
        <is>
          <t>Y</t>
        </is>
      </c>
      <c r="V15" t="inlineStr"/>
      <c r="W15" t="inlineStr">
        <is>
          <t>auto: This paper develops a post‐humanist account of urban public space.</t>
        </is>
      </c>
      <c r="X15" t="inlineStr"/>
      <c r="Y15" t="inlineStr"/>
      <c r="Z15" t="inlineStr">
        <is>
          <t>high</t>
        </is>
      </c>
      <c r="AA15" t="inlineStr">
        <is>
          <t>A9:landmarks</t>
        </is>
      </c>
      <c r="AB15" t="inlineStr"/>
      <c r="AC15" t="n">
        <v>38.1817</v>
      </c>
    </row>
    <row r="16">
      <c r="A16" t="inlineStr">
        <is>
          <t>LM00015</t>
        </is>
      </c>
      <c r="B16" t="inlineStr">
        <is>
          <t>How To Study Public Life</t>
        </is>
      </c>
      <c r="C16" t="n">
        <v>2013</v>
      </c>
      <c r="D16" t="inlineStr">
        <is>
          <t>Jan Gehl; Birgitte Svarre</t>
        </is>
      </c>
      <c r="E16" t="inlineStr">
        <is>
          <t>Island Press/Center for Resource Economics eBooks</t>
        </is>
      </c>
      <c r="F16" t="inlineStr">
        <is>
          <t>book</t>
        </is>
      </c>
      <c r="G16" t="inlineStr">
        <is>
          <t>10.5822/978-1-61091-525-0</t>
        </is>
      </c>
      <c r="H16" t="inlineStr">
        <is>
          <t>W1559689324</t>
        </is>
      </c>
      <c r="I16" t="inlineStr">
        <is>
          <t>https://doi.org/10.5822/978-1-61091-525-0</t>
        </is>
      </c>
      <c r="J16" t="inlineStr">
        <is>
          <t>http://ci.nii.ac.jp/ncid/BB15519072</t>
        </is>
      </c>
      <c r="K16" t="n">
        <v>659</v>
      </c>
      <c r="L16" t="inlineStr">
        <is>
          <t>A</t>
        </is>
      </c>
      <c r="M16" t="inlineStr">
        <is>
          <t>A9</t>
        </is>
      </c>
      <c r="N16" t="inlineStr"/>
      <c r="O16" t="inlineStr"/>
      <c r="P16" t="inlineStr">
        <is>
          <t>Not place-specific</t>
        </is>
      </c>
      <c r="Q16" t="inlineStr"/>
      <c r="R16" t="inlineStr"/>
      <c r="S16" t="inlineStr"/>
      <c r="T16" t="inlineStr">
        <is>
          <t>unclear</t>
        </is>
      </c>
      <c r="U16" t="inlineStr">
        <is>
          <t>Y</t>
        </is>
      </c>
      <c r="V16" t="inlineStr"/>
      <c r="W16" t="inlineStr">
        <is>
          <t>auto: How do we accommodate a growing urban population in a way that is sustainable, equitable, and inviting?</t>
        </is>
      </c>
      <c r="X16" t="inlineStr"/>
      <c r="Y16" t="inlineStr"/>
      <c r="Z16" t="inlineStr">
        <is>
          <t>high</t>
        </is>
      </c>
      <c r="AA16" t="inlineStr">
        <is>
          <t>A9:landmarks</t>
        </is>
      </c>
      <c r="AB16" t="inlineStr"/>
      <c r="AC16" t="n">
        <v>27.036</v>
      </c>
    </row>
    <row r="17">
      <c r="A17" t="inlineStr">
        <is>
          <t>LM00016</t>
        </is>
      </c>
      <c r="B17" t="inlineStr">
        <is>
          <t>The impact of COVID-19 on public space: an early review of the emerging questions – design, perceptions and inequities</t>
        </is>
      </c>
      <c r="C17" t="n">
        <v>2020</v>
      </c>
      <c r="D17" t="inlineStr">
        <is>
          <t>Jordi Honey‐Rosés; Isabelle Anguelovski; Vincent Chireh; Carolyn Daher; Cecil Cornelius Konijnendijk; Jill Litt; Vrushti Mawani; Michael Keith McCall; Arturo Orellana; Emilia Oscilowicz et al.</t>
        </is>
      </c>
      <c r="E17" t="inlineStr">
        <is>
          <t>Cities &amp; Health</t>
        </is>
      </c>
      <c r="F17" t="inlineStr">
        <is>
          <t>article</t>
        </is>
      </c>
      <c r="G17" t="inlineStr">
        <is>
          <t>10.1080/23748834.2020.1780074</t>
        </is>
      </c>
      <c r="H17" t="inlineStr">
        <is>
          <t>W3046368070</t>
        </is>
      </c>
      <c r="I17" t="inlineStr">
        <is>
          <t>https://doi.org/10.1080/23748834.2020.1780074</t>
        </is>
      </c>
      <c r="J17" t="inlineStr"/>
      <c r="K17" t="n">
        <v>637</v>
      </c>
      <c r="L17" t="inlineStr">
        <is>
          <t>A</t>
        </is>
      </c>
      <c r="M17" t="inlineStr">
        <is>
          <t>A9</t>
        </is>
      </c>
      <c r="N17" t="inlineStr"/>
      <c r="O17" t="inlineStr"/>
      <c r="P17" t="inlineStr">
        <is>
          <t>Not place-specific</t>
        </is>
      </c>
      <c r="Q17" t="inlineStr"/>
      <c r="R17" t="inlineStr"/>
      <c r="S17" t="inlineStr"/>
      <c r="T17" t="inlineStr">
        <is>
          <t>unclear</t>
        </is>
      </c>
      <c r="U17" t="inlineStr">
        <is>
          <t>Y</t>
        </is>
      </c>
      <c r="V17" t="inlineStr"/>
      <c r="W17" t="inlineStr">
        <is>
          <t>auto: This article aims to highlight emerging questions at the interface of COVID-19 and city design.</t>
        </is>
      </c>
      <c r="X17" t="inlineStr"/>
      <c r="Y17" t="inlineStr"/>
      <c r="Z17" t="inlineStr">
        <is>
          <t>high</t>
        </is>
      </c>
      <c r="AA17" t="inlineStr">
        <is>
          <t>A9:landmarks</t>
        </is>
      </c>
      <c r="AB17" t="inlineStr"/>
      <c r="AC17" t="n">
        <v>41.6434</v>
      </c>
    </row>
    <row r="18">
      <c r="A18" t="inlineStr">
        <is>
          <t>LM00017</t>
        </is>
      </c>
      <c r="B18" t="inlineStr">
        <is>
          <t>Vulnerability in Resistance</t>
        </is>
      </c>
      <c r="C18" t="n">
        <v>2016</v>
      </c>
      <c r="D18" t="inlineStr">
        <is>
          <t>Butler-Rees, Angharad</t>
        </is>
      </c>
      <c r="E18" t="inlineStr">
        <is>
          <t>Duke University Press eBooks</t>
        </is>
      </c>
      <c r="F18" t="inlineStr">
        <is>
          <t>book</t>
        </is>
      </c>
      <c r="G18" t="inlineStr">
        <is>
          <t>10.1215/9780822373490</t>
        </is>
      </c>
      <c r="H18" t="inlineStr">
        <is>
          <t>W2554047350</t>
        </is>
      </c>
      <c r="I18" t="inlineStr">
        <is>
          <t>https://doi.org/10.1215/9780822373490</t>
        </is>
      </c>
      <c r="J18" t="inlineStr">
        <is>
          <t>https://doi.org/10.1215/9780822373490</t>
        </is>
      </c>
      <c r="K18" t="n">
        <v>613</v>
      </c>
      <c r="L18" t="inlineStr">
        <is>
          <t>A</t>
        </is>
      </c>
      <c r="M18" t="inlineStr">
        <is>
          <t>A9</t>
        </is>
      </c>
      <c r="N18" t="inlineStr"/>
      <c r="O18" t="inlineStr">
        <is>
          <t>France; Palestine; Turkey</t>
        </is>
      </c>
      <c r="P18" t="inlineStr">
        <is>
          <t>Multi-region</t>
        </is>
      </c>
      <c r="Q18" t="inlineStr"/>
      <c r="R18" t="inlineStr"/>
      <c r="S18" t="inlineStr"/>
      <c r="T18" t="inlineStr">
        <is>
          <t>conceptual</t>
        </is>
      </c>
      <c r="U18" t="inlineStr">
        <is>
          <t>Y</t>
        </is>
      </c>
      <c r="V18" t="inlineStr"/>
      <c r="W18" t="inlineStr">
        <is>
          <t>auto: Vulnerability and resistance have often been seen as opposites, with the assumption that vulnerability requires protection and the strengthening of paternalistic power at the expense of collective resistance.</t>
        </is>
      </c>
      <c r="X18" t="inlineStr"/>
      <c r="Y18" t="inlineStr"/>
      <c r="Z18" t="inlineStr">
        <is>
          <t>medium</t>
        </is>
      </c>
      <c r="AA18" t="inlineStr">
        <is>
          <t>A9:landmarks</t>
        </is>
      </c>
      <c r="AB18" t="inlineStr"/>
      <c r="AC18" t="n">
        <v>47.8499</v>
      </c>
    </row>
    <row r="19">
      <c r="A19" t="inlineStr">
        <is>
          <t>LM00018</t>
        </is>
      </c>
      <c r="B19" t="inlineStr">
        <is>
          <t>It all used to be better? Different generations on continuity and change in urban children's daily use of space</t>
        </is>
      </c>
      <c r="C19" t="n">
        <v>2005</v>
      </c>
      <c r="D19" t="inlineStr">
        <is>
          <t>Lia Karsten</t>
        </is>
      </c>
      <c r="E19" t="inlineStr">
        <is>
          <t>Children s Geographies</t>
        </is>
      </c>
      <c r="F19" t="inlineStr">
        <is>
          <t>article</t>
        </is>
      </c>
      <c r="G19" t="inlineStr">
        <is>
          <t>10.1080/14733280500352912</t>
        </is>
      </c>
      <c r="H19" t="inlineStr">
        <is>
          <t>W2113795003</t>
        </is>
      </c>
      <c r="I19" t="inlineStr">
        <is>
          <t>https://doi.org/10.1080/14733280500352912</t>
        </is>
      </c>
      <c r="J19" t="inlineStr"/>
      <c r="K19" t="n">
        <v>550</v>
      </c>
      <c r="L19" t="inlineStr">
        <is>
          <t>A</t>
        </is>
      </c>
      <c r="M19" t="inlineStr">
        <is>
          <t>A9</t>
        </is>
      </c>
      <c r="N19" t="inlineStr"/>
      <c r="O19" t="inlineStr">
        <is>
          <t>Amsterdam</t>
        </is>
      </c>
      <c r="P19" t="inlineStr">
        <is>
          <t>Global North</t>
        </is>
      </c>
      <c r="Q19" t="inlineStr"/>
      <c r="R19" t="inlineStr"/>
      <c r="S19" t="inlineStr"/>
      <c r="T19" t="inlineStr">
        <is>
          <t>mixed</t>
        </is>
      </c>
      <c r="U19" t="inlineStr">
        <is>
          <t>Y</t>
        </is>
      </c>
      <c r="V19" t="inlineStr"/>
      <c r="W19" t="inlineStr">
        <is>
          <t>auto: There is much speculation about children's changing space–time behaviour, yet little is actually known about it.</t>
        </is>
      </c>
      <c r="X19" t="inlineStr"/>
      <c r="Y19" t="inlineStr"/>
      <c r="Z19" t="inlineStr">
        <is>
          <t>medium</t>
        </is>
      </c>
      <c r="AA19" t="inlineStr">
        <is>
          <t>A9:landmarks</t>
        </is>
      </c>
      <c r="AB19" t="inlineStr"/>
      <c r="AC19" t="n">
        <v>18.1271</v>
      </c>
    </row>
    <row r="20">
      <c r="A20" t="inlineStr">
        <is>
          <t>LM00019</t>
        </is>
      </c>
      <c r="B20" t="inlineStr">
        <is>
          <t>Social infrastructure and the public life of cities: Studying urban sociality and public spaces</t>
        </is>
      </c>
      <c r="C20" t="n">
        <v>2019</v>
      </c>
      <c r="D20" t="inlineStr">
        <is>
          <t>Alan Latham; Jack Layton</t>
        </is>
      </c>
      <c r="E20" t="inlineStr">
        <is>
          <t>Geography Compass</t>
        </is>
      </c>
      <c r="F20" t="inlineStr">
        <is>
          <t>article</t>
        </is>
      </c>
      <c r="G20" t="inlineStr">
        <is>
          <t>10.1111/gec3.12444</t>
        </is>
      </c>
      <c r="H20" t="inlineStr">
        <is>
          <t>W2950589030</t>
        </is>
      </c>
      <c r="I20" t="inlineStr">
        <is>
          <t>https://doi.org/10.1111/gec3.12444</t>
        </is>
      </c>
      <c r="J20" t="inlineStr">
        <is>
          <t>https://onlinelibrary.wiley.com/doi/pdfdirect/10.1111/gec3.12444</t>
        </is>
      </c>
      <c r="K20" t="n">
        <v>539</v>
      </c>
      <c r="L20" t="inlineStr">
        <is>
          <t>A</t>
        </is>
      </c>
      <c r="M20" t="inlineStr">
        <is>
          <t>A9</t>
        </is>
      </c>
      <c r="N20" t="inlineStr"/>
      <c r="O20" t="inlineStr"/>
      <c r="P20" t="inlineStr">
        <is>
          <t>Not place-specific</t>
        </is>
      </c>
      <c r="Q20" t="inlineStr"/>
      <c r="R20" t="inlineStr"/>
      <c r="S20" t="inlineStr"/>
      <c r="T20" t="inlineStr">
        <is>
          <t>conceptual</t>
        </is>
      </c>
      <c r="U20" t="inlineStr">
        <is>
          <t>Y</t>
        </is>
      </c>
      <c r="V20" t="inlineStr"/>
      <c r="W20" t="inlineStr">
        <is>
          <t>auto: Drawing on the arguments of the sociologist Eric Klinenberg, this article develops the concept of “social infrastructure” as a way to research and value these kinds of spaces.</t>
        </is>
      </c>
      <c r="X20" t="inlineStr">
        <is>
          <t>auto: Social infrastructure helps in recognising the public dimensions of often overlooked and undervalued spaces.</t>
        </is>
      </c>
      <c r="Y20" t="inlineStr"/>
      <c r="Z20" t="inlineStr">
        <is>
          <t>high</t>
        </is>
      </c>
      <c r="AA20" t="inlineStr">
        <is>
          <t>A9:landmarks</t>
        </is>
      </c>
      <c r="AB20" t="inlineStr"/>
      <c r="AC20" t="n">
        <v>83.777</v>
      </c>
    </row>
    <row r="21">
      <c r="A21" t="inlineStr">
        <is>
          <t>LM00020</t>
        </is>
      </c>
      <c r="B21" t="inlineStr">
        <is>
          <t>Where Does Community Grow?</t>
        </is>
      </c>
      <c r="C21" t="n">
        <v>1997</v>
      </c>
      <c r="D21" t="inlineStr">
        <is>
          <t>Rebekah Levine Coley; WILLIAM C. SULLIVAN; Frances E. Kuo</t>
        </is>
      </c>
      <c r="E21" t="inlineStr">
        <is>
          <t>Environment and Behavior</t>
        </is>
      </c>
      <c r="F21" t="inlineStr">
        <is>
          <t>article</t>
        </is>
      </c>
      <c r="G21" t="inlineStr">
        <is>
          <t>10.1177/001391659702900402</t>
        </is>
      </c>
      <c r="H21" t="inlineStr">
        <is>
          <t>W2137042736</t>
        </is>
      </c>
      <c r="I21" t="inlineStr">
        <is>
          <t>https://doi.org/10.1177/001391659702900402</t>
        </is>
      </c>
      <c r="J21" t="inlineStr"/>
      <c r="K21" t="n">
        <v>530</v>
      </c>
      <c r="L21" t="inlineStr">
        <is>
          <t>A</t>
        </is>
      </c>
      <c r="M21" t="inlineStr">
        <is>
          <t>A9</t>
        </is>
      </c>
      <c r="N21" t="inlineStr"/>
      <c r="O21" t="inlineStr">
        <is>
          <t>Chicago</t>
        </is>
      </c>
      <c r="P21" t="inlineStr">
        <is>
          <t>Global North</t>
        </is>
      </c>
      <c r="Q21" t="inlineStr"/>
      <c r="R21" t="inlineStr"/>
      <c r="S21" t="inlineStr"/>
      <c r="T21" t="inlineStr">
        <is>
          <t>quantitative</t>
        </is>
      </c>
      <c r="U21" t="inlineStr">
        <is>
          <t>Y</t>
        </is>
      </c>
      <c r="V21" t="inlineStr"/>
      <c r="W21" t="inlineStr">
        <is>
          <t>auto: This study examines how the availability of nature influences the use of outdoor public spaces in two Chicago public housing developments.</t>
        </is>
      </c>
      <c r="X21" t="inlineStr"/>
      <c r="Y21" t="inlineStr"/>
      <c r="Z21" t="inlineStr">
        <is>
          <t>medium</t>
        </is>
      </c>
      <c r="AA21" t="inlineStr">
        <is>
          <t>A9:landmarks</t>
        </is>
      </c>
      <c r="AB21" t="inlineStr"/>
      <c r="AC21" t="n">
        <v>2.1174</v>
      </c>
    </row>
    <row r="22">
      <c r="A22" t="inlineStr">
        <is>
          <t>LM00021</t>
        </is>
      </c>
      <c r="B22" t="inlineStr">
        <is>
          <t>Accessibility and usability: Green space preferences, perceptions, and barriers in a rapidly urbanizing city in Latin America</t>
        </is>
      </c>
      <c r="C22" t="n">
        <v>2012</v>
      </c>
      <c r="D22" t="inlineStr">
        <is>
          <t>Heather E. Wright Wendel; Rebecca K. Zarger; James R. Mihelcic</t>
        </is>
      </c>
      <c r="E22" t="inlineStr">
        <is>
          <t>Landscape and Urban Planning</t>
        </is>
      </c>
      <c r="F22" t="inlineStr">
        <is>
          <t>article</t>
        </is>
      </c>
      <c r="G22" t="inlineStr">
        <is>
          <t>10.1016/j.landurbplan.2012.06.003</t>
        </is>
      </c>
      <c r="H22" t="inlineStr">
        <is>
          <t>W2084995582</t>
        </is>
      </c>
      <c r="I22" t="inlineStr">
        <is>
          <t>https://doi.org/10.1016/j.landurbplan.2012.06.003</t>
        </is>
      </c>
      <c r="J22" t="inlineStr"/>
      <c r="K22" t="n">
        <v>518</v>
      </c>
      <c r="L22" t="inlineStr">
        <is>
          <t>A</t>
        </is>
      </c>
      <c r="M22" t="inlineStr">
        <is>
          <t>A9</t>
        </is>
      </c>
      <c r="N22" t="inlineStr"/>
      <c r="O22" t="inlineStr">
        <is>
          <t>Latin America</t>
        </is>
      </c>
      <c r="P22" t="inlineStr">
        <is>
          <t>Latin America</t>
        </is>
      </c>
      <c r="Q22" t="inlineStr"/>
      <c r="R22" t="inlineStr"/>
      <c r="S22" t="inlineStr"/>
      <c r="T22" t="inlineStr">
        <is>
          <t>unclear</t>
        </is>
      </c>
      <c r="U22" t="inlineStr">
        <is>
          <t>Y</t>
        </is>
      </c>
      <c r="V22" t="inlineStr"/>
      <c r="W22" t="inlineStr"/>
      <c r="X22" t="inlineStr"/>
      <c r="Y22" t="inlineStr"/>
      <c r="Z22" t="inlineStr">
        <is>
          <t>low</t>
        </is>
      </c>
      <c r="AA22" t="inlineStr">
        <is>
          <t>A9:landmarks</t>
        </is>
      </c>
      <c r="AB22" t="inlineStr"/>
      <c r="AC22" t="n">
        <v>5.1694</v>
      </c>
    </row>
    <row r="23">
      <c r="A23" t="inlineStr">
        <is>
          <t>LM00022</t>
        </is>
      </c>
      <c r="B23" t="inlineStr">
        <is>
          <t>Cities within the City: Do‐It‐Yourself Urbanism and the Right to the City</t>
        </is>
      </c>
      <c r="C23" t="n">
        <v>2013</v>
      </c>
      <c r="D23" t="inlineStr">
        <is>
          <t>Kurt Iveson</t>
        </is>
      </c>
      <c r="E23" t="inlineStr">
        <is>
          <t>International Journal of Urban and Regional Research</t>
        </is>
      </c>
      <c r="F23" t="inlineStr">
        <is>
          <t>article</t>
        </is>
      </c>
      <c r="G23" t="inlineStr">
        <is>
          <t>10.1111/1468-2427.12053</t>
        </is>
      </c>
      <c r="H23" t="inlineStr">
        <is>
          <t>W1943640755</t>
        </is>
      </c>
      <c r="I23" t="inlineStr">
        <is>
          <t>https://doi.org/10.1111/1468-2427.12053</t>
        </is>
      </c>
      <c r="J23" t="inlineStr"/>
      <c r="K23" t="n">
        <v>471</v>
      </c>
      <c r="L23" t="inlineStr">
        <is>
          <t>A</t>
        </is>
      </c>
      <c r="M23" t="inlineStr">
        <is>
          <t>A9</t>
        </is>
      </c>
      <c r="N23" t="inlineStr"/>
      <c r="O23" t="inlineStr">
        <is>
          <t>Madrid; New York; Sydney</t>
        </is>
      </c>
      <c r="P23" t="inlineStr">
        <is>
          <t>Global North</t>
        </is>
      </c>
      <c r="Q23" t="inlineStr"/>
      <c r="R23" t="inlineStr"/>
      <c r="S23" t="inlineStr"/>
      <c r="T23" t="inlineStr">
        <is>
          <t>conceptual</t>
        </is>
      </c>
      <c r="U23" t="inlineStr">
        <is>
          <t>Y</t>
        </is>
      </c>
      <c r="V23" t="inlineStr"/>
      <c r="W23" t="inlineStr">
        <is>
          <t>auto: This article asks: to what extent do such practices constitute a new form of urban politics that might give birth to a more just and democratic city?</t>
        </is>
      </c>
      <c r="X23" t="inlineStr"/>
      <c r="Y23" t="inlineStr"/>
      <c r="Z23" t="inlineStr">
        <is>
          <t>high</t>
        </is>
      </c>
      <c r="AA23" t="inlineStr">
        <is>
          <t>A9:landmarks</t>
        </is>
      </c>
      <c r="AB23" t="inlineStr"/>
      <c r="AC23" t="n">
        <v>102.4976</v>
      </c>
    </row>
    <row r="24">
      <c r="A24" t="inlineStr">
        <is>
          <t>LM00023</t>
        </is>
      </c>
      <c r="B24" t="inlineStr">
        <is>
          <t>It's Mine, Don't Touch!</t>
        </is>
      </c>
      <c r="C24" t="n">
        <v>2008</v>
      </c>
      <c r="D24" t="inlineStr">
        <is>
          <t>Peter Peltonen; Esko Kurvinen; Antti Salovaara; Giulio Jacucci; Tommi Ilmonen; John Evans; Antti Oulasvirta; Petri Saarikko</t>
        </is>
      </c>
      <c r="E24" t="inlineStr">
        <is>
          <t>ACM SIGCHI Conference on Human Factors in Computing Systems (CHI)</t>
        </is>
      </c>
      <c r="F24" t="inlineStr">
        <is>
          <t>conference-paper</t>
        </is>
      </c>
      <c r="G24" t="inlineStr">
        <is>
          <t>10.1145/1357054.1357255</t>
        </is>
      </c>
      <c r="H24" t="inlineStr">
        <is>
          <t>W2106223989</t>
        </is>
      </c>
      <c r="I24" t="inlineStr">
        <is>
          <t>https://doi.org/10.1145/1357054.1357255</t>
        </is>
      </c>
      <c r="J24" t="inlineStr"/>
      <c r="K24" t="n">
        <v>461</v>
      </c>
      <c r="L24" t="inlineStr">
        <is>
          <t>A</t>
        </is>
      </c>
      <c r="M24" t="inlineStr">
        <is>
          <t>A9</t>
        </is>
      </c>
      <c r="N24" t="inlineStr"/>
      <c r="O24" t="inlineStr">
        <is>
          <t>Finland; Helsinki</t>
        </is>
      </c>
      <c r="P24" t="inlineStr">
        <is>
          <t>Global North</t>
        </is>
      </c>
      <c r="Q24" t="inlineStr"/>
      <c r="R24" t="inlineStr"/>
      <c r="S24" t="inlineStr"/>
      <c r="T24" t="inlineStr">
        <is>
          <t>mixed</t>
        </is>
      </c>
      <c r="U24" t="inlineStr">
        <is>
          <t>Y</t>
        </is>
      </c>
      <c r="V24" t="inlineStr"/>
      <c r="W24" t="inlineStr">
        <is>
          <t>auto: We analyze how public availability is achieved through social learning and negotiation, why interaction becomes performative and, finally, how the display restructures the public space.</t>
        </is>
      </c>
      <c r="X24" t="inlineStr"/>
      <c r="Y24" t="inlineStr"/>
      <c r="Z24" t="inlineStr">
        <is>
          <t>medium</t>
        </is>
      </c>
      <c r="AA24" t="inlineStr">
        <is>
          <t>A9:landmarks</t>
        </is>
      </c>
      <c r="AB24" t="inlineStr"/>
      <c r="AC24" t="n">
        <v>31.9484</v>
      </c>
    </row>
    <row r="25">
      <c r="A25" t="inlineStr">
        <is>
          <t>LM00024</t>
        </is>
      </c>
      <c r="B25" t="inlineStr">
        <is>
          <t>The Public Realm</t>
        </is>
      </c>
      <c r="C25" t="n">
        <v>2017</v>
      </c>
      <c r="D25" t="inlineStr">
        <is>
          <t>Lyn H. Lofland</t>
        </is>
      </c>
      <c r="E25" t="inlineStr">
        <is>
          <t>Routledge eBooks</t>
        </is>
      </c>
      <c r="F25" t="inlineStr">
        <is>
          <t>book</t>
        </is>
      </c>
      <c r="G25" t="inlineStr">
        <is>
          <t>10.4324/9781315134352</t>
        </is>
      </c>
      <c r="H25" t="inlineStr">
        <is>
          <t>W2124465616</t>
        </is>
      </c>
      <c r="I25" t="inlineStr">
        <is>
          <t>https://doi.org/10.4324/9781315134352</t>
        </is>
      </c>
      <c r="J25" t="inlineStr"/>
      <c r="K25" t="n">
        <v>460</v>
      </c>
      <c r="L25" t="inlineStr">
        <is>
          <t>A</t>
        </is>
      </c>
      <c r="M25" t="inlineStr">
        <is>
          <t>A9</t>
        </is>
      </c>
      <c r="N25" t="inlineStr"/>
      <c r="O25" t="inlineStr"/>
      <c r="P25" t="inlineStr">
        <is>
          <t>Not place-specific</t>
        </is>
      </c>
      <c r="Q25" t="inlineStr"/>
      <c r="R25" t="inlineStr"/>
      <c r="S25" t="inlineStr"/>
      <c r="T25" t="inlineStr">
        <is>
          <t>qualitative</t>
        </is>
      </c>
      <c r="U25" t="inlineStr">
        <is>
          <t>Y</t>
        </is>
      </c>
      <c r="V25" t="inlineStr"/>
      <c r="W25" t="inlineStr">
        <is>
          <t>auto: This book is about the "public realm," defined as a particular kind of social territory that is found almost exclusively in large settlements.</t>
        </is>
      </c>
      <c r="X25" t="inlineStr"/>
      <c r="Y25" t="inlineStr"/>
      <c r="Z25" t="inlineStr">
        <is>
          <t>high</t>
        </is>
      </c>
      <c r="AA25" t="inlineStr">
        <is>
          <t>A9:landmarks</t>
        </is>
      </c>
      <c r="AB25" t="inlineStr"/>
      <c r="AC25" t="n">
        <v>26.5507</v>
      </c>
    </row>
    <row r="26">
      <c r="A26" t="inlineStr">
        <is>
          <t>LM00025</t>
        </is>
      </c>
      <c r="B26" t="inlineStr">
        <is>
          <t>The Future of Public Space:Beyond Invented Streets and Reinvented Places</t>
        </is>
      </c>
      <c r="C26" t="n">
        <v>2001</v>
      </c>
      <c r="D26" t="inlineStr">
        <is>
          <t>Tridib Banerjee</t>
        </is>
      </c>
      <c r="E26" t="inlineStr">
        <is>
          <t>Journal of the American Planning Association</t>
        </is>
      </c>
      <c r="F26" t="inlineStr">
        <is>
          <t>article</t>
        </is>
      </c>
      <c r="G26" t="inlineStr">
        <is>
          <t>10.1080/01944360108976352</t>
        </is>
      </c>
      <c r="H26" t="inlineStr">
        <is>
          <t>W2031542882</t>
        </is>
      </c>
      <c r="I26" t="inlineStr">
        <is>
          <t>https://doi.org/10.1080/01944360108976352</t>
        </is>
      </c>
      <c r="J26" t="inlineStr"/>
      <c r="K26" t="n">
        <v>440</v>
      </c>
      <c r="L26" t="inlineStr">
        <is>
          <t>A</t>
        </is>
      </c>
      <c r="M26" t="inlineStr">
        <is>
          <t>A9</t>
        </is>
      </c>
      <c r="N26" t="inlineStr"/>
      <c r="O26" t="inlineStr">
        <is>
          <t>New York; United States</t>
        </is>
      </c>
      <c r="P26" t="inlineStr">
        <is>
          <t>Global North</t>
        </is>
      </c>
      <c r="Q26" t="inlineStr"/>
      <c r="R26" t="inlineStr"/>
      <c r="S26" t="inlineStr"/>
      <c r="T26" t="inlineStr">
        <is>
          <t>conceptual</t>
        </is>
      </c>
      <c r="U26" t="inlineStr">
        <is>
          <t>Y</t>
        </is>
      </c>
      <c r="V26" t="inlineStr"/>
      <c r="W26" t="inlineStr">
        <is>
          <t>auto: This essay examines the underlying causes of such discontent, in the context of historic and recent transformations in social values and public ethos.</t>
        </is>
      </c>
      <c r="X26" t="inlineStr"/>
      <c r="Y26" t="inlineStr"/>
      <c r="Z26" t="inlineStr">
        <is>
          <t>high</t>
        </is>
      </c>
      <c r="AA26" t="inlineStr">
        <is>
          <t>A9:landmarks</t>
        </is>
      </c>
      <c r="AB26" t="inlineStr"/>
      <c r="AC26" t="n">
        <v>18.0089</v>
      </c>
    </row>
    <row r="27">
      <c r="A27" t="inlineStr">
        <is>
          <t>LM00026</t>
        </is>
      </c>
      <c r="B27" t="inlineStr">
        <is>
          <t>Children's Independent Spatial Mobility in the Urban Public Realm</t>
        </is>
      </c>
      <c r="C27" t="n">
        <v>2000</v>
      </c>
      <c r="D27" t="inlineStr">
        <is>
          <t>Margaret O’Brien; DEBORAH JONES; DAVID SLOAN; Michael Rustin</t>
        </is>
      </c>
      <c r="E27" t="inlineStr">
        <is>
          <t>Childhood</t>
        </is>
      </c>
      <c r="F27" t="inlineStr">
        <is>
          <t>article</t>
        </is>
      </c>
      <c r="G27" t="inlineStr">
        <is>
          <t>10.1177/0907568200007003002</t>
        </is>
      </c>
      <c r="H27" t="inlineStr">
        <is>
          <t>W2052535574</t>
        </is>
      </c>
      <c r="I27" t="inlineStr">
        <is>
          <t>https://doi.org/10.1177/0907568200007003002</t>
        </is>
      </c>
      <c r="J27" t="inlineStr"/>
      <c r="K27" t="n">
        <v>423</v>
      </c>
      <c r="L27" t="inlineStr">
        <is>
          <t>A</t>
        </is>
      </c>
      <c r="M27" t="inlineStr">
        <is>
          <t>A9</t>
        </is>
      </c>
      <c r="N27" t="inlineStr"/>
      <c r="O27" t="inlineStr">
        <is>
          <t>London</t>
        </is>
      </c>
      <c r="P27" t="inlineStr">
        <is>
          <t>Global North</t>
        </is>
      </c>
      <c r="Q27" t="inlineStr"/>
      <c r="R27" t="inlineStr"/>
      <c r="S27" t="inlineStr"/>
      <c r="T27" t="inlineStr">
        <is>
          <t>conceptual</t>
        </is>
      </c>
      <c r="U27" t="inlineStr">
        <is>
          <t>Y</t>
        </is>
      </c>
      <c r="V27" t="inlineStr"/>
      <c r="W27" t="inlineStr">
        <is>
          <t>auto: This article examines children's spatial mobility in urban settings.</t>
        </is>
      </c>
      <c r="X27" t="inlineStr">
        <is>
          <t>auto: Lack of attention to the different ways children use their cities will hinder advances in social policies designed to enhance participation for all children.</t>
        </is>
      </c>
      <c r="Y27" t="inlineStr"/>
      <c r="Z27" t="inlineStr">
        <is>
          <t>high</t>
        </is>
      </c>
      <c r="AA27" t="inlineStr">
        <is>
          <t>A9:landmarks</t>
        </is>
      </c>
      <c r="AB27" t="inlineStr"/>
      <c r="AC27" t="n">
        <v>12.3923</v>
      </c>
    </row>
    <row r="28">
      <c r="A28" t="inlineStr">
        <is>
          <t>LM00027</t>
        </is>
      </c>
      <c r="B28" t="inlineStr">
        <is>
          <t>Loose Space : Possibility and Diversity in Urban Life</t>
        </is>
      </c>
      <c r="C28" t="n">
        <v>2006</v>
      </c>
      <c r="D28" t="inlineStr">
        <is>
          <t>Karen A. Franck; Quentin Stevens</t>
        </is>
      </c>
      <c r="E28" t="inlineStr"/>
      <c r="F28" t="inlineStr">
        <is>
          <t>article</t>
        </is>
      </c>
      <c r="G28" t="inlineStr"/>
      <c r="H28" t="inlineStr">
        <is>
          <t>W8604946</t>
        </is>
      </c>
      <c r="I28" t="inlineStr">
        <is>
          <t>http://www.loc.gov/catdir/toc/ecip0613/2006015099.html</t>
        </is>
      </c>
      <c r="J28" t="inlineStr"/>
      <c r="K28" t="n">
        <v>423</v>
      </c>
      <c r="L28" t="inlineStr">
        <is>
          <t>A</t>
        </is>
      </c>
      <c r="M28" t="inlineStr">
        <is>
          <t>A9</t>
        </is>
      </c>
      <c r="N28" t="inlineStr"/>
      <c r="O28" t="inlineStr">
        <is>
          <t>Amsterdam; Athens; Bangkok; Berlin; London; Melbourne; New York; Rome; Tel Aviv; United Kingdom</t>
        </is>
      </c>
      <c r="P28" t="inlineStr">
        <is>
          <t>Multi-region</t>
        </is>
      </c>
      <c r="Q28" t="inlineStr"/>
      <c r="R28" t="inlineStr"/>
      <c r="S28" t="inlineStr"/>
      <c r="T28" t="inlineStr">
        <is>
          <t>qualitative</t>
        </is>
      </c>
      <c r="U28" t="inlineStr">
        <is>
          <t>Y</t>
        </is>
      </c>
      <c r="V28" t="inlineStr"/>
      <c r="W28" t="inlineStr">
        <is>
          <t>auto: In cities around the world people use a variety of public spaces to relax, to protest, to buy and sell, to experiment and to celebrate.</t>
        </is>
      </c>
      <c r="X28" t="inlineStr"/>
      <c r="Y28" t="inlineStr"/>
      <c r="Z28" t="inlineStr">
        <is>
          <t>high</t>
        </is>
      </c>
      <c r="AA28" t="inlineStr">
        <is>
          <t>A9:landmarks</t>
        </is>
      </c>
      <c r="AB28" t="inlineStr"/>
      <c r="AC28" t="n">
        <v>23.1242</v>
      </c>
    </row>
    <row r="29">
      <c r="A29" t="inlineStr">
        <is>
          <t>LM00028</t>
        </is>
      </c>
      <c r="B29" t="inlineStr">
        <is>
          <t>Walkable City: How Downtown Can Save America, One Step at a Time</t>
        </is>
      </c>
      <c r="C29" t="n">
        <v>2012</v>
      </c>
      <c r="D29" t="inlineStr">
        <is>
          <t>Jeff Speck</t>
        </is>
      </c>
      <c r="E29" t="inlineStr"/>
      <c r="F29" t="inlineStr">
        <is>
          <t>book</t>
        </is>
      </c>
      <c r="G29" t="inlineStr"/>
      <c r="H29" t="inlineStr">
        <is>
          <t>W624303654</t>
        </is>
      </c>
      <c r="I29" t="inlineStr">
        <is>
          <t>https://trid.trb.org/view/1264810</t>
        </is>
      </c>
      <c r="J29" t="inlineStr"/>
      <c r="K29" t="n">
        <v>420</v>
      </c>
      <c r="L29" t="inlineStr">
        <is>
          <t>A</t>
        </is>
      </c>
      <c r="M29" t="inlineStr">
        <is>
          <t>A9</t>
        </is>
      </c>
      <c r="N29" t="inlineStr"/>
      <c r="O29" t="inlineStr">
        <is>
          <t>United States</t>
        </is>
      </c>
      <c r="P29" t="inlineStr">
        <is>
          <t>Global North</t>
        </is>
      </c>
      <c r="Q29" t="inlineStr"/>
      <c r="R29" t="inlineStr"/>
      <c r="S29" t="inlineStr"/>
      <c r="T29" t="inlineStr">
        <is>
          <t>conceptual</t>
        </is>
      </c>
      <c r="U29" t="inlineStr">
        <is>
          <t>Y</t>
        </is>
      </c>
      <c r="V29" t="inlineStr"/>
      <c r="W29" t="inlineStr">
        <is>
          <t>auto: The author is a well regarded urbanist.</t>
        </is>
      </c>
      <c r="X29" t="inlineStr"/>
      <c r="Y29" t="inlineStr"/>
      <c r="Z29" t="inlineStr">
        <is>
          <t>medium</t>
        </is>
      </c>
      <c r="AA29" t="inlineStr">
        <is>
          <t>A9:landmarks</t>
        </is>
      </c>
      <c r="AB29" t="inlineStr"/>
      <c r="AC29" t="n">
        <v>48.7625</v>
      </c>
    </row>
    <row r="30">
      <c r="A30" t="inlineStr">
        <is>
          <t>LM00029</t>
        </is>
      </c>
      <c r="B30" t="inlineStr">
        <is>
          <t>Principles for public space design, planning to do better</t>
        </is>
      </c>
      <c r="C30" t="n">
        <v>2018</v>
      </c>
      <c r="D30" t="inlineStr">
        <is>
          <t>Matthew Carmona</t>
        </is>
      </c>
      <c r="E30" t="inlineStr">
        <is>
          <t>URBAN DESIGN International</t>
        </is>
      </c>
      <c r="F30" t="inlineStr">
        <is>
          <t>article</t>
        </is>
      </c>
      <c r="G30" t="inlineStr">
        <is>
          <t>10.1057/s41289-018-0070-3</t>
        </is>
      </c>
      <c r="H30" t="inlineStr">
        <is>
          <t>W2888403634</t>
        </is>
      </c>
      <c r="I30" t="inlineStr">
        <is>
          <t>https://doi.org/10.1057/s41289-018-0070-3</t>
        </is>
      </c>
      <c r="J30" t="inlineStr">
        <is>
          <t>https://link.springer.com/content/pdf/10.1057/s41289-018-0070-3.pdf</t>
        </is>
      </c>
      <c r="K30" t="n">
        <v>403</v>
      </c>
      <c r="L30" t="inlineStr">
        <is>
          <t>A</t>
        </is>
      </c>
      <c r="M30" t="inlineStr">
        <is>
          <t>A9</t>
        </is>
      </c>
      <c r="N30" t="inlineStr"/>
      <c r="O30" t="inlineStr">
        <is>
          <t>London</t>
        </is>
      </c>
      <c r="P30" t="inlineStr">
        <is>
          <t>Global North</t>
        </is>
      </c>
      <c r="Q30" t="inlineStr"/>
      <c r="R30" t="inlineStr"/>
      <c r="S30" t="inlineStr"/>
      <c r="T30" t="inlineStr">
        <is>
          <t>conceptual</t>
        </is>
      </c>
      <c r="U30" t="inlineStr">
        <is>
          <t>Y</t>
        </is>
      </c>
      <c r="V30" t="inlineStr"/>
      <c r="W30" t="inlineStr">
        <is>
          <t>auto: This paper sets out a series of normative principles for planners and others to use when planning for and regulating public space design and management.</t>
        </is>
      </c>
      <c r="X30" t="inlineStr"/>
      <c r="Y30" t="inlineStr"/>
      <c r="Z30" t="inlineStr">
        <is>
          <t>high</t>
        </is>
      </c>
      <c r="AA30" t="inlineStr">
        <is>
          <t>A9:landmarks</t>
        </is>
      </c>
      <c r="AB30" t="inlineStr"/>
      <c r="AC30" t="n">
        <v>59.6499</v>
      </c>
    </row>
    <row r="31">
      <c r="A31" t="inlineStr">
        <is>
          <t>LM00030</t>
        </is>
      </c>
      <c r="B31" t="inlineStr">
        <is>
          <t>Insurgent Public Space</t>
        </is>
      </c>
      <c r="C31" t="n">
        <v>2010</v>
      </c>
      <c r="D31" t="inlineStr">
        <is>
          <t>Jeffrey Hou</t>
        </is>
      </c>
      <c r="E31" t="inlineStr">
        <is>
          <t>Routledge eBooks</t>
        </is>
      </c>
      <c r="F31" t="inlineStr">
        <is>
          <t>book</t>
        </is>
      </c>
      <c r="G31" t="inlineStr">
        <is>
          <t>10.4324/9780203093009</t>
        </is>
      </c>
      <c r="H31" t="inlineStr">
        <is>
          <t>W642358081</t>
        </is>
      </c>
      <c r="I31" t="inlineStr">
        <is>
          <t>https://doi.org/10.4324/9780203093009</t>
        </is>
      </c>
      <c r="J31" t="inlineStr"/>
      <c r="K31" t="n">
        <v>401</v>
      </c>
      <c r="L31" t="inlineStr">
        <is>
          <t>A</t>
        </is>
      </c>
      <c r="M31" t="inlineStr">
        <is>
          <t>A9</t>
        </is>
      </c>
      <c r="N31" t="inlineStr"/>
      <c r="O31" t="inlineStr">
        <is>
          <t>Beijing; Los Angeles; San Francisco; Seattle</t>
        </is>
      </c>
      <c r="P31" t="inlineStr">
        <is>
          <t>Multi-region</t>
        </is>
      </c>
      <c r="Q31" t="inlineStr"/>
      <c r="R31" t="inlineStr"/>
      <c r="S31" t="inlineStr"/>
      <c r="T31" t="inlineStr">
        <is>
          <t>qualitative</t>
        </is>
      </c>
      <c r="U31" t="inlineStr">
        <is>
          <t>Y</t>
        </is>
      </c>
      <c r="V31" t="inlineStr"/>
      <c r="W31" t="inlineStr">
        <is>
          <t>auto: Winner of the EDRA book prize for 2012.</t>
        </is>
      </c>
      <c r="X31" t="inlineStr"/>
      <c r="Y31" t="inlineStr"/>
      <c r="Z31" t="inlineStr">
        <is>
          <t>high</t>
        </is>
      </c>
      <c r="AA31" t="inlineStr">
        <is>
          <t>A9:landmarks</t>
        </is>
      </c>
      <c r="AB31" t="inlineStr"/>
      <c r="AC31" t="n">
        <v>15.9028</v>
      </c>
    </row>
    <row r="32">
      <c r="A32" t="inlineStr">
        <is>
          <t>LM00031</t>
        </is>
      </c>
      <c r="B32" t="inlineStr">
        <is>
          <t>Cast in Stone: Monuments, Geography, and Nationalism</t>
        </is>
      </c>
      <c r="C32" t="n">
        <v>1995</v>
      </c>
      <c r="D32" t="inlineStr">
        <is>
          <t>Nuala Johnson</t>
        </is>
      </c>
      <c r="E32" t="inlineStr">
        <is>
          <t>Environment and Planning D Society and Space</t>
        </is>
      </c>
      <c r="F32" t="inlineStr">
        <is>
          <t>article</t>
        </is>
      </c>
      <c r="G32" t="inlineStr">
        <is>
          <t>10.1068/d130051</t>
        </is>
      </c>
      <c r="H32" t="inlineStr">
        <is>
          <t>W2035829157</t>
        </is>
      </c>
      <c r="I32" t="inlineStr">
        <is>
          <t>https://doi.org/10.1068/d130051</t>
        </is>
      </c>
      <c r="J32" t="inlineStr"/>
      <c r="K32" t="n">
        <v>399</v>
      </c>
      <c r="L32" t="inlineStr">
        <is>
          <t>A</t>
        </is>
      </c>
      <c r="M32" t="inlineStr">
        <is>
          <t>A9</t>
        </is>
      </c>
      <c r="N32" t="inlineStr"/>
      <c r="O32" t="inlineStr"/>
      <c r="P32" t="inlineStr">
        <is>
          <t>Not place-specific</t>
        </is>
      </c>
      <c r="Q32" t="inlineStr"/>
      <c r="R32" t="inlineStr"/>
      <c r="S32" t="inlineStr"/>
      <c r="T32" t="inlineStr">
        <is>
          <t>conceptual</t>
        </is>
      </c>
      <c r="U32" t="inlineStr">
        <is>
          <t>Y</t>
        </is>
      </c>
      <c r="V32" t="inlineStr"/>
      <c r="W32" t="inlineStr">
        <is>
          <t>auto: I argue that monuments are an important, but underutilised, resource for the geographer interested in debates surrounding national identity.</t>
        </is>
      </c>
      <c r="X32" t="inlineStr"/>
      <c r="Y32" t="inlineStr"/>
      <c r="Z32" t="inlineStr">
        <is>
          <t>medium</t>
        </is>
      </c>
      <c r="AA32" t="inlineStr">
        <is>
          <t>A9:landmarks</t>
        </is>
      </c>
      <c r="AB32" t="inlineStr"/>
      <c r="AC32" t="n">
        <v>24.3967</v>
      </c>
    </row>
    <row r="33">
      <c r="A33" t="inlineStr">
        <is>
          <t>LM00032</t>
        </is>
      </c>
      <c r="B33" t="inlineStr">
        <is>
          <t>Requirements and design space for interactive public displays</t>
        </is>
      </c>
      <c r="C33" t="n">
        <v>2010</v>
      </c>
      <c r="D33" t="inlineStr">
        <is>
          <t>Jörg Müller; Florian Alt; Daniel Michelis; Albrecht Schmidt</t>
        </is>
      </c>
      <c r="E33" t="inlineStr">
        <is>
          <t>ACM International Conference on Multimedia (ACM MM)</t>
        </is>
      </c>
      <c r="F33" t="inlineStr">
        <is>
          <t>conference-paper</t>
        </is>
      </c>
      <c r="G33" t="inlineStr">
        <is>
          <t>10.1145/1873951.1874203</t>
        </is>
      </c>
      <c r="H33" t="inlineStr">
        <is>
          <t>W2162134050</t>
        </is>
      </c>
      <c r="I33" t="inlineStr">
        <is>
          <t>https://doi.org/10.1145/1873951.1874203</t>
        </is>
      </c>
      <c r="J33" t="inlineStr">
        <is>
          <t>https://zenodo.org/record/3438272</t>
        </is>
      </c>
      <c r="K33" t="n">
        <v>399</v>
      </c>
      <c r="L33" t="inlineStr">
        <is>
          <t>A</t>
        </is>
      </c>
      <c r="M33" t="inlineStr">
        <is>
          <t>A9</t>
        </is>
      </c>
      <c r="N33" t="inlineStr"/>
      <c r="O33" t="inlineStr"/>
      <c r="P33" t="inlineStr">
        <is>
          <t>Not place-specific</t>
        </is>
      </c>
      <c r="Q33" t="inlineStr"/>
      <c r="R33" t="inlineStr"/>
      <c r="S33" t="inlineStr"/>
      <c r="T33" t="inlineStr">
        <is>
          <t>conceptual</t>
        </is>
      </c>
      <c r="U33" t="inlineStr">
        <is>
          <t>Y</t>
        </is>
      </c>
      <c r="V33" t="inlineStr"/>
      <c r="W33" t="inlineStr">
        <is>
          <t>auto: In this paper we discuss the fundamentals for creating exciting public displays and multimedia experiences enabling new forms of engagement with digital content.</t>
        </is>
      </c>
      <c r="X33" t="inlineStr"/>
      <c r="Y33" t="inlineStr">
        <is>
          <t>train stations</t>
        </is>
      </c>
      <c r="Z33" t="inlineStr">
        <is>
          <t>high</t>
        </is>
      </c>
      <c r="AA33" t="inlineStr">
        <is>
          <t>A9:landmarks</t>
        </is>
      </c>
      <c r="AB33" t="inlineStr"/>
      <c r="AC33" t="n">
        <v>16.1361</v>
      </c>
    </row>
    <row r="34">
      <c r="A34" t="inlineStr">
        <is>
          <t>LM00033</t>
        </is>
      </c>
      <c r="B34" t="inlineStr">
        <is>
          <t>Domestication by Cappuccino or a Revenge on Urban Space? Control and Empowerment in the Management of Public Spaces</t>
        </is>
      </c>
      <c r="C34" t="n">
        <v>2003</v>
      </c>
      <c r="D34" t="inlineStr">
        <is>
          <t>Rowland Atkinson</t>
        </is>
      </c>
      <c r="E34" t="inlineStr">
        <is>
          <t>Urban Studies</t>
        </is>
      </c>
      <c r="F34" t="inlineStr">
        <is>
          <t>article</t>
        </is>
      </c>
      <c r="G34" t="inlineStr">
        <is>
          <t>10.1080/0042098032000106627</t>
        </is>
      </c>
      <c r="H34" t="inlineStr">
        <is>
          <t>W2163232119</t>
        </is>
      </c>
      <c r="I34" t="inlineStr">
        <is>
          <t>https://doi.org/10.1080/0042098032000106627</t>
        </is>
      </c>
      <c r="J34" t="inlineStr">
        <is>
          <t>https://figshare.com/articles/journal_contribution/Domestication_by_Cappuccino_or_a_Revenge_on_Urban_Space_Control_and_Empowerment_in_the_Management_of_Public_Spaces/22851755</t>
        </is>
      </c>
      <c r="K34" t="n">
        <v>391</v>
      </c>
      <c r="L34" t="inlineStr">
        <is>
          <t>A</t>
        </is>
      </c>
      <c r="M34" t="inlineStr">
        <is>
          <t>A9</t>
        </is>
      </c>
      <c r="N34" t="inlineStr"/>
      <c r="O34" t="inlineStr">
        <is>
          <t>United Kingdom</t>
        </is>
      </c>
      <c r="P34" t="inlineStr">
        <is>
          <t>Global North</t>
        </is>
      </c>
      <c r="Q34" t="inlineStr"/>
      <c r="R34" t="inlineStr"/>
      <c r="S34" t="inlineStr"/>
      <c r="T34" t="inlineStr">
        <is>
          <t>qualitative</t>
        </is>
      </c>
      <c r="U34" t="inlineStr">
        <is>
          <t>Y</t>
        </is>
      </c>
      <c r="V34" t="inlineStr"/>
      <c r="W34" t="inlineStr">
        <is>
          <t>auto: This paper explores some of the more extreme tendencies in the management of public space to consider whether current policy directions, in this case in central Scotland, are driven by a desire to empower or control users of such spaces.</t>
        </is>
      </c>
      <c r="X34" t="inlineStr"/>
      <c r="Y34" t="inlineStr"/>
      <c r="Z34" t="inlineStr">
        <is>
          <t>high</t>
        </is>
      </c>
      <c r="AA34" t="inlineStr">
        <is>
          <t>A9:landmarks</t>
        </is>
      </c>
      <c r="AB34" t="inlineStr"/>
      <c r="AC34" t="n">
        <v>25.9133</v>
      </c>
    </row>
    <row r="35">
      <c r="A35" t="inlineStr">
        <is>
          <t>LM00034</t>
        </is>
      </c>
      <c r="B35" t="inlineStr">
        <is>
          <t>CHILDREN SHOULD BE SEEN AND NOT HEARD: THE PRODUCTION AND TRANSGRESSION OF ADULTS' PUBLIC SPACE</t>
        </is>
      </c>
      <c r="C35" t="n">
        <v>1996</v>
      </c>
      <c r="D35" t="inlineStr">
        <is>
          <t>Gill Valentine</t>
        </is>
      </c>
      <c r="E35" t="inlineStr">
        <is>
          <t>Urban Geography</t>
        </is>
      </c>
      <c r="F35" t="inlineStr">
        <is>
          <t>article</t>
        </is>
      </c>
      <c r="G35" t="inlineStr">
        <is>
          <t>10.2747/0272-3638.17.3.205</t>
        </is>
      </c>
      <c r="H35" t="inlineStr">
        <is>
          <t>W2013275119</t>
        </is>
      </c>
      <c r="I35" t="inlineStr">
        <is>
          <t>https://doi.org/10.2747/0272-3638.17.3.205</t>
        </is>
      </c>
      <c r="J35" t="inlineStr"/>
      <c r="K35" t="n">
        <v>377</v>
      </c>
      <c r="L35" t="inlineStr">
        <is>
          <t>A</t>
        </is>
      </c>
      <c r="M35" t="inlineStr">
        <is>
          <t>A9</t>
        </is>
      </c>
      <c r="N35" t="inlineStr"/>
      <c r="O35" t="inlineStr">
        <is>
          <t>Europe; North America</t>
        </is>
      </c>
      <c r="P35" t="inlineStr">
        <is>
          <t>Global North</t>
        </is>
      </c>
      <c r="Q35" t="inlineStr"/>
      <c r="R35" t="inlineStr"/>
      <c r="S35" t="inlineStr"/>
      <c r="T35" t="inlineStr">
        <is>
          <t>conceptual</t>
        </is>
      </c>
      <c r="U35" t="inlineStr">
        <is>
          <t>Y</t>
        </is>
      </c>
      <c r="V35" t="inlineStr"/>
      <c r="W35" t="inlineStr">
        <is>
          <t>auto: This paper uses these contradictory concerns to explore how public space is being produced as a space that is "naturally" or "normally" an adult space.</t>
        </is>
      </c>
      <c r="X35" t="inlineStr"/>
      <c r="Y35" t="inlineStr"/>
      <c r="Z35" t="inlineStr">
        <is>
          <t>high</t>
        </is>
      </c>
      <c r="AA35" t="inlineStr">
        <is>
          <t>A9:landmarks</t>
        </is>
      </c>
      <c r="AB35" t="inlineStr"/>
      <c r="AC35" t="n">
        <v>52.6525</v>
      </c>
    </row>
    <row r="36">
      <c r="A36" t="inlineStr">
        <is>
          <t>LM00035</t>
        </is>
      </c>
      <c r="B36" t="inlineStr">
        <is>
          <t>Democracy and the Public Space in Latin America</t>
        </is>
      </c>
      <c r="C36" t="n">
        <v>2009</v>
      </c>
      <c r="D36" t="inlineStr">
        <is>
          <t>Leonardo Avritzer</t>
        </is>
      </c>
      <c r="E36" t="inlineStr">
        <is>
          <t>Princeton University Press eBooks</t>
        </is>
      </c>
      <c r="F36" t="inlineStr">
        <is>
          <t>book</t>
        </is>
      </c>
      <c r="G36" t="inlineStr">
        <is>
          <t>10.1515/9781400825011</t>
        </is>
      </c>
      <c r="H36" t="inlineStr">
        <is>
          <t>W2093331601</t>
        </is>
      </c>
      <c r="I36" t="inlineStr">
        <is>
          <t>https://doi.org/10.1515/9781400825011</t>
        </is>
      </c>
      <c r="J36" t="inlineStr"/>
      <c r="K36" t="n">
        <v>363</v>
      </c>
      <c r="L36" t="inlineStr">
        <is>
          <t>A</t>
        </is>
      </c>
      <c r="M36" t="inlineStr">
        <is>
          <t>A9</t>
        </is>
      </c>
      <c r="N36" t="inlineStr"/>
      <c r="O36" t="inlineStr">
        <is>
          <t>Argentina; Brazil; Europe; European; Latin America; Latin American; Mexico</t>
        </is>
      </c>
      <c r="P36" t="inlineStr">
        <is>
          <t>Multi-region</t>
        </is>
      </c>
      <c r="Q36" t="inlineStr"/>
      <c r="R36" t="inlineStr"/>
      <c r="S36" t="inlineStr"/>
      <c r="T36" t="inlineStr">
        <is>
          <t>conceptual</t>
        </is>
      </c>
      <c r="U36" t="inlineStr">
        <is>
          <t>Y</t>
        </is>
      </c>
      <c r="V36" t="inlineStr"/>
      <c r="W36" t="inlineStr">
        <is>
          <t>auto: This is a bold new study of the recent emergence of democracy in Latin America.</t>
        </is>
      </c>
      <c r="X36" t="inlineStr"/>
      <c r="Y36" t="inlineStr"/>
      <c r="Z36" t="inlineStr">
        <is>
          <t>high</t>
        </is>
      </c>
      <c r="AA36" t="inlineStr">
        <is>
          <t>A9:landmarks</t>
        </is>
      </c>
      <c r="AB36" t="inlineStr"/>
      <c r="AC36" t="n">
        <v>74.1002</v>
      </c>
    </row>
    <row r="37">
      <c r="A37" t="inlineStr">
        <is>
          <t>LM00036</t>
        </is>
      </c>
      <c r="B37" t="inlineStr">
        <is>
          <t>'Bold Walk and Breakings': Women's spatial confidence versus fear of violence</t>
        </is>
      </c>
      <c r="C37" t="n">
        <v>1997</v>
      </c>
      <c r="D37" t="inlineStr">
        <is>
          <t>Hille Koskela</t>
        </is>
      </c>
      <c r="E37" t="inlineStr">
        <is>
          <t>Gender Place &amp; Culture</t>
        </is>
      </c>
      <c r="F37" t="inlineStr">
        <is>
          <t>article</t>
        </is>
      </c>
      <c r="G37" t="inlineStr">
        <is>
          <t>10.1080/09663699725369</t>
        </is>
      </c>
      <c r="H37" t="inlineStr">
        <is>
          <t>W2055153148</t>
        </is>
      </c>
      <c r="I37" t="inlineStr">
        <is>
          <t>https://doi.org/10.1080/09663699725369</t>
        </is>
      </c>
      <c r="J37" t="inlineStr"/>
      <c r="K37" t="n">
        <v>357</v>
      </c>
      <c r="L37" t="inlineStr">
        <is>
          <t>A</t>
        </is>
      </c>
      <c r="M37" t="inlineStr">
        <is>
          <t>A9</t>
        </is>
      </c>
      <c r="N37" t="inlineStr"/>
      <c r="O37" t="inlineStr">
        <is>
          <t>Finland</t>
        </is>
      </c>
      <c r="P37" t="inlineStr">
        <is>
          <t>Global North</t>
        </is>
      </c>
      <c r="Q37" t="inlineStr"/>
      <c r="R37" t="inlineStr"/>
      <c r="S37" t="inlineStr"/>
      <c r="T37" t="inlineStr">
        <is>
          <t>qualitative</t>
        </is>
      </c>
      <c r="U37" t="inlineStr">
        <is>
          <t>Y</t>
        </is>
      </c>
      <c r="V37" t="inlineStr"/>
      <c r="W37" t="inlineStr">
        <is>
          <t>auto: This article explores women's fear of urban violence from a spatial perspective.</t>
        </is>
      </c>
      <c r="X37" t="inlineStr"/>
      <c r="Y37" t="inlineStr"/>
      <c r="Z37" t="inlineStr">
        <is>
          <t>medium</t>
        </is>
      </c>
      <c r="AA37" t="inlineStr">
        <is>
          <t>A9:landmarks</t>
        </is>
      </c>
      <c r="AB37" t="inlineStr"/>
      <c r="AC37" t="n">
        <v>13.5611</v>
      </c>
    </row>
    <row r="38">
      <c r="A38" t="inlineStr">
        <is>
          <t>LM00037</t>
        </is>
      </c>
      <c r="B38" t="inlineStr">
        <is>
          <t>Situating Legal Consciousness: Experiences and Attitudes of Ordinary Citizens about Law and Street Harassment</t>
        </is>
      </c>
      <c r="C38" t="n">
        <v>2000</v>
      </c>
      <c r="D38" t="inlineStr">
        <is>
          <t>Laura Beth Nielsen</t>
        </is>
      </c>
      <c r="E38" t="inlineStr">
        <is>
          <t>Law &amp; Society Review</t>
        </is>
      </c>
      <c r="F38" t="inlineStr">
        <is>
          <t>article</t>
        </is>
      </c>
      <c r="G38" t="inlineStr">
        <is>
          <t>10.2307/3115131</t>
        </is>
      </c>
      <c r="H38" t="inlineStr">
        <is>
          <t>W4292199346</t>
        </is>
      </c>
      <c r="I38" t="inlineStr">
        <is>
          <t>https://doi.org/10.2307/3115131</t>
        </is>
      </c>
      <c r="J38" t="inlineStr"/>
      <c r="K38" t="n">
        <v>350</v>
      </c>
      <c r="L38" t="inlineStr">
        <is>
          <t>A</t>
        </is>
      </c>
      <c r="M38" t="inlineStr">
        <is>
          <t>A9</t>
        </is>
      </c>
      <c r="N38" t="inlineStr"/>
      <c r="O38" t="inlineStr"/>
      <c r="P38" t="inlineStr">
        <is>
          <t>Not place-specific</t>
        </is>
      </c>
      <c r="Q38" t="inlineStr"/>
      <c r="R38" t="inlineStr"/>
      <c r="S38" t="inlineStr"/>
      <c r="T38" t="inlineStr">
        <is>
          <t>mixed</t>
        </is>
      </c>
      <c r="U38" t="inlineStr">
        <is>
          <t>Y</t>
        </is>
      </c>
      <c r="V38" t="inlineStr"/>
      <c r="W38" t="inlineStr">
        <is>
          <t>auto: Drawing on observations in public spaces in three northern California communities and in-depth interviews with 100 subjects recruited from these public locations, I analyze variation across race and gender groups in experiences with offensive public speech and attitudes about how such speech shou…</t>
        </is>
      </c>
      <c r="X38" t="inlineStr"/>
      <c r="Y38" t="inlineStr"/>
      <c r="Z38" t="inlineStr">
        <is>
          <t>medium</t>
        </is>
      </c>
      <c r="AA38" t="inlineStr">
        <is>
          <t>A9:landmarks</t>
        </is>
      </c>
      <c r="AB38" t="inlineStr"/>
      <c r="AC38" t="n">
        <v>8.2516</v>
      </c>
    </row>
    <row r="39">
      <c r="A39" t="inlineStr">
        <is>
          <t>LM00038</t>
        </is>
      </c>
      <c r="B39" t="inlineStr">
        <is>
          <t>Space, Difference, Everyday Life</t>
        </is>
      </c>
      <c r="C39" t="n">
        <v>2008</v>
      </c>
      <c r="D39" t="inlineStr"/>
      <c r="E39" t="inlineStr">
        <is>
          <t>Routledge eBooks</t>
        </is>
      </c>
      <c r="F39" t="inlineStr">
        <is>
          <t>book</t>
        </is>
      </c>
      <c r="G39" t="inlineStr">
        <is>
          <t>10.4324/9780203933213</t>
        </is>
      </c>
      <c r="H39" t="inlineStr">
        <is>
          <t>W139139059</t>
        </is>
      </c>
      <c r="I39" t="inlineStr">
        <is>
          <t>https://doi.org/10.4324/9780203933213</t>
        </is>
      </c>
      <c r="J39" t="inlineStr"/>
      <c r="K39" t="n">
        <v>342</v>
      </c>
      <c r="L39" t="inlineStr">
        <is>
          <t>A</t>
        </is>
      </c>
      <c r="M39" t="inlineStr">
        <is>
          <t>A9</t>
        </is>
      </c>
      <c r="N39" t="inlineStr"/>
      <c r="O39" t="inlineStr"/>
      <c r="P39" t="inlineStr">
        <is>
          <t>Not place-specific</t>
        </is>
      </c>
      <c r="Q39" t="inlineStr"/>
      <c r="R39" t="inlineStr"/>
      <c r="S39" t="inlineStr"/>
      <c r="T39" t="inlineStr">
        <is>
          <t>conceptual</t>
        </is>
      </c>
      <c r="U39" t="inlineStr">
        <is>
          <t>Y</t>
        </is>
      </c>
      <c r="V39" t="inlineStr"/>
      <c r="W39" t="inlineStr">
        <is>
          <t>auto: CONTENTS List of Figures Notes on Contributors Preface and Acknowledgements 1 On the Production of Henri Lefebvre Stefan Kipfer, Kanishka Goonewardena, Christian Schmid and Richard Milgrom Part I: Dialectics of Space and Time 2 Towards a Three-Dimensional Dialectic: The Theory of the Production o…</t>
        </is>
      </c>
      <c r="X39" t="inlineStr"/>
      <c r="Y39" t="inlineStr"/>
      <c r="Z39" t="inlineStr">
        <is>
          <t>medium</t>
        </is>
      </c>
      <c r="AA39" t="inlineStr">
        <is>
          <t>A9:landmarks</t>
        </is>
      </c>
      <c r="AB39" t="inlineStr"/>
      <c r="AC39" t="n">
        <v>14.115</v>
      </c>
    </row>
    <row r="40">
      <c r="A40" t="inlineStr">
        <is>
          <t>LM00039</t>
        </is>
      </c>
      <c r="B40" t="inlineStr">
        <is>
          <t>Publics and the City</t>
        </is>
      </c>
      <c r="C40" t="n">
        <v>2007</v>
      </c>
      <c r="D40" t="inlineStr">
        <is>
          <t>Kurt Iveson</t>
        </is>
      </c>
      <c r="E40" t="inlineStr">
        <is>
          <t>Wiley eBooks</t>
        </is>
      </c>
      <c r="F40" t="inlineStr">
        <is>
          <t>book</t>
        </is>
      </c>
      <c r="G40" t="inlineStr">
        <is>
          <t>10.1002/9780470761748</t>
        </is>
      </c>
      <c r="H40" t="inlineStr">
        <is>
          <t>W1528174827</t>
        </is>
      </c>
      <c r="I40" t="inlineStr">
        <is>
          <t>https://doi.org/10.1002/9780470761748</t>
        </is>
      </c>
      <c r="J40" t="inlineStr"/>
      <c r="K40" t="n">
        <v>333</v>
      </c>
      <c r="L40" t="inlineStr">
        <is>
          <t>A</t>
        </is>
      </c>
      <c r="M40" t="inlineStr">
        <is>
          <t>A9</t>
        </is>
      </c>
      <c r="N40" t="inlineStr"/>
      <c r="O40" t="inlineStr">
        <is>
          <t>Melbourne; Sydney</t>
        </is>
      </c>
      <c r="P40" t="inlineStr">
        <is>
          <t>Global North</t>
        </is>
      </c>
      <c r="Q40" t="inlineStr"/>
      <c r="R40" t="inlineStr"/>
      <c r="S40" t="inlineStr"/>
      <c r="T40" t="inlineStr">
        <is>
          <t>conceptual</t>
        </is>
      </c>
      <c r="U40" t="inlineStr">
        <is>
          <t>Y</t>
        </is>
      </c>
      <c r="V40" t="inlineStr"/>
      <c r="W40" t="inlineStr">
        <is>
          <t>auto: List of Illustrations.</t>
        </is>
      </c>
      <c r="X40" t="inlineStr"/>
      <c r="Y40" t="inlineStr"/>
      <c r="Z40" t="inlineStr">
        <is>
          <t>medium</t>
        </is>
      </c>
      <c r="AA40" t="inlineStr">
        <is>
          <t>A9:landmarks</t>
        </is>
      </c>
      <c r="AB40" t="inlineStr"/>
      <c r="AC40" t="n">
        <v>28.0854</v>
      </c>
    </row>
    <row r="41">
      <c r="A41" t="inlineStr">
        <is>
          <t>LM00040</t>
        </is>
      </c>
      <c r="B41" t="inlineStr">
        <is>
          <t>On the Plaza</t>
        </is>
      </c>
      <c r="C41" t="n">
        <v>2000</v>
      </c>
      <c r="D41" t="inlineStr">
        <is>
          <t>Setha Low</t>
        </is>
      </c>
      <c r="E41" t="inlineStr">
        <is>
          <t>University of Texas Press eBooks</t>
        </is>
      </c>
      <c r="F41" t="inlineStr">
        <is>
          <t>book</t>
        </is>
      </c>
      <c r="G41" t="inlineStr">
        <is>
          <t>10.7560/747135</t>
        </is>
      </c>
      <c r="H41" t="inlineStr">
        <is>
          <t>W4212829170</t>
        </is>
      </c>
      <c r="I41" t="inlineStr">
        <is>
          <t>https://doi.org/10.7560/747135</t>
        </is>
      </c>
      <c r="J41" t="inlineStr"/>
      <c r="K41" t="n">
        <v>333</v>
      </c>
      <c r="L41" t="inlineStr">
        <is>
          <t>A</t>
        </is>
      </c>
      <c r="M41" t="inlineStr">
        <is>
          <t>A9</t>
        </is>
      </c>
      <c r="N41" t="inlineStr"/>
      <c r="O41" t="inlineStr">
        <is>
          <t>Costa Rica; Europe; European; Latin American; United States</t>
        </is>
      </c>
      <c r="P41" t="inlineStr">
        <is>
          <t>Multi-region</t>
        </is>
      </c>
      <c r="Q41" t="inlineStr"/>
      <c r="R41" t="inlineStr"/>
      <c r="S41" t="inlineStr"/>
      <c r="T41" t="inlineStr">
        <is>
          <t>qualitative</t>
        </is>
      </c>
      <c r="U41" t="inlineStr">
        <is>
          <t>Y</t>
        </is>
      </c>
      <c r="V41" t="inlineStr"/>
      <c r="W41" t="inlineStr">
        <is>
          <t>auto: Friendly gossip, political rallies, outdoor concerts, drugs, shoeshines, and sex-for-sale—almost every aspect of Latin American life has its place and time in the public plaza.</t>
        </is>
      </c>
      <c r="X41" t="inlineStr"/>
      <c r="Y41" t="inlineStr"/>
      <c r="Z41" t="inlineStr">
        <is>
          <t>medium</t>
        </is>
      </c>
      <c r="AA41" t="inlineStr">
        <is>
          <t>A9:landmarks</t>
        </is>
      </c>
      <c r="AB41" t="inlineStr"/>
      <c r="AC41" t="n">
        <v>2.9435</v>
      </c>
    </row>
    <row r="42">
      <c r="A42" t="inlineStr">
        <is>
          <t>LM00041</t>
        </is>
      </c>
      <c r="B42" t="inlineStr">
        <is>
          <t>The Place-shaping Continuum: A Theory of Urban Design Process</t>
        </is>
      </c>
      <c r="C42" t="n">
        <v>2013</v>
      </c>
      <c r="D42" t="inlineStr">
        <is>
          <t>Matthew Carmona</t>
        </is>
      </c>
      <c r="E42" t="inlineStr">
        <is>
          <t>Journal of Urban Design</t>
        </is>
      </c>
      <c r="F42" t="inlineStr">
        <is>
          <t>article</t>
        </is>
      </c>
      <c r="G42" t="inlineStr">
        <is>
          <t>10.1080/13574809.2013.854695</t>
        </is>
      </c>
      <c r="H42" t="inlineStr">
        <is>
          <t>W2113892502</t>
        </is>
      </c>
      <c r="I42" t="inlineStr">
        <is>
          <t>https://doi.org/10.1080/13574809.2013.854695</t>
        </is>
      </c>
      <c r="J42" t="inlineStr">
        <is>
          <t>https://doi.org/10.1080/13574809.2013.854695</t>
        </is>
      </c>
      <c r="K42" t="n">
        <v>327</v>
      </c>
      <c r="L42" t="inlineStr">
        <is>
          <t>A</t>
        </is>
      </c>
      <c r="M42" t="inlineStr">
        <is>
          <t>A9</t>
        </is>
      </c>
      <c r="N42" t="inlineStr"/>
      <c r="O42" t="inlineStr">
        <is>
          <t>London</t>
        </is>
      </c>
      <c r="P42" t="inlineStr">
        <is>
          <t>Global North</t>
        </is>
      </c>
      <c r="Q42" t="inlineStr"/>
      <c r="R42" t="inlineStr"/>
      <c r="S42" t="inlineStr"/>
      <c r="T42" t="inlineStr">
        <is>
          <t>qualitative</t>
        </is>
      </c>
      <c r="U42" t="inlineStr">
        <is>
          <t>Y</t>
        </is>
      </c>
      <c r="V42" t="inlineStr"/>
      <c r="W42" t="inlineStr">
        <is>
          <t>auto: Drawing on empirical research in London, this paper examines how public spaces in the contemporary city are shaped.</t>
        </is>
      </c>
      <c r="X42" t="inlineStr"/>
      <c r="Y42" t="inlineStr"/>
      <c r="Z42" t="inlineStr">
        <is>
          <t>high</t>
        </is>
      </c>
      <c r="AA42" t="inlineStr">
        <is>
          <t>A9:landmarks</t>
        </is>
      </c>
      <c r="AB42" t="inlineStr"/>
      <c r="AC42" t="n">
        <v>56.9431</v>
      </c>
    </row>
    <row r="43">
      <c r="A43" t="inlineStr">
        <is>
          <t>LM00042</t>
        </is>
      </c>
      <c r="B43" t="inlineStr">
        <is>
          <t>Lively Streets</t>
        </is>
      </c>
      <c r="C43" t="n">
        <v>2007</v>
      </c>
      <c r="D43" t="inlineStr">
        <is>
          <t>Vikas Mehta</t>
        </is>
      </c>
      <c r="E43" t="inlineStr">
        <is>
          <t>Journal of Planning Education and Research</t>
        </is>
      </c>
      <c r="F43" t="inlineStr">
        <is>
          <t>article</t>
        </is>
      </c>
      <c r="G43" t="inlineStr">
        <is>
          <t>10.1177/0739456x07307947</t>
        </is>
      </c>
      <c r="H43" t="inlineStr">
        <is>
          <t>W1967972384</t>
        </is>
      </c>
      <c r="I43" t="inlineStr">
        <is>
          <t>https://doi.org/10.1177/0739456x07307947</t>
        </is>
      </c>
      <c r="J43" t="inlineStr"/>
      <c r="K43" t="n">
        <v>324</v>
      </c>
      <c r="L43" t="inlineStr">
        <is>
          <t>A</t>
        </is>
      </c>
      <c r="M43" t="inlineStr">
        <is>
          <t>A9</t>
        </is>
      </c>
      <c r="N43" t="inlineStr"/>
      <c r="O43" t="inlineStr"/>
      <c r="P43" t="inlineStr">
        <is>
          <t>Not place-specific</t>
        </is>
      </c>
      <c r="Q43" t="inlineStr"/>
      <c r="R43" t="inlineStr"/>
      <c r="S43" t="inlineStr"/>
      <c r="T43" t="inlineStr">
        <is>
          <t>review</t>
        </is>
      </c>
      <c r="U43" t="inlineStr">
        <is>
          <t>Y</t>
        </is>
      </c>
      <c r="V43" t="inlineStr"/>
      <c r="W43" t="inlineStr">
        <is>
          <t>auto: This article is an empirical examination of behavioral responses of people to the environmental quality of neighborhood commercial streets.</t>
        </is>
      </c>
      <c r="X43" t="inlineStr"/>
      <c r="Y43" t="inlineStr"/>
      <c r="Z43" t="inlineStr">
        <is>
          <t>medium</t>
        </is>
      </c>
      <c r="AA43" t="inlineStr">
        <is>
          <t>A9:landmarks</t>
        </is>
      </c>
      <c r="AB43" t="inlineStr"/>
      <c r="AC43" t="n">
        <v>6.5524</v>
      </c>
    </row>
    <row r="44">
      <c r="A44" t="inlineStr">
        <is>
          <t>LM00043</t>
        </is>
      </c>
      <c r="B44" t="inlineStr">
        <is>
          <t>Guardians of the Bourgeois City: Citizenship, Public Space, and Middle–Class Activism in Mumbai</t>
        </is>
      </c>
      <c r="C44" t="n">
        <v>2009</v>
      </c>
      <c r="D44" t="inlineStr">
        <is>
          <t>Jonathan Shapiro Anjaria</t>
        </is>
      </c>
      <c r="E44" t="inlineStr">
        <is>
          <t>City and Community</t>
        </is>
      </c>
      <c r="F44" t="inlineStr">
        <is>
          <t>article</t>
        </is>
      </c>
      <c r="G44" t="inlineStr">
        <is>
          <t>10.1111/j.1540-6040.2009.01299.x</t>
        </is>
      </c>
      <c r="H44" t="inlineStr">
        <is>
          <t>W2170388076</t>
        </is>
      </c>
      <c r="I44" t="inlineStr">
        <is>
          <t>https://doi.org/10.1111/j.1540-6040.2009.01299.x</t>
        </is>
      </c>
      <c r="J44" t="inlineStr"/>
      <c r="K44" t="n">
        <v>142</v>
      </c>
      <c r="L44" t="inlineStr">
        <is>
          <t>A</t>
        </is>
      </c>
      <c r="M44" t="inlineStr">
        <is>
          <t>A9</t>
        </is>
      </c>
      <c r="N44" t="inlineStr"/>
      <c r="O44" t="inlineStr">
        <is>
          <t>India; Mumbai</t>
        </is>
      </c>
      <c r="P44" t="inlineStr">
        <is>
          <t>South Asia</t>
        </is>
      </c>
      <c r="Q44" t="inlineStr">
        <is>
          <t>Y</t>
        </is>
      </c>
      <c r="R44" t="inlineStr"/>
      <c r="S44" t="inlineStr"/>
      <c r="T44" t="inlineStr">
        <is>
          <t>qualitative</t>
        </is>
      </c>
      <c r="U44" t="inlineStr"/>
      <c r="V44" t="inlineStr"/>
      <c r="W44" t="inlineStr">
        <is>
          <t>auto: This article examines the new phenomenon of “citizens’ groups” in contemporary Mumbai, India, whose activities are directed at making the city's public spaces more orderly.</t>
        </is>
      </c>
      <c r="X44" t="inlineStr"/>
      <c r="Y44" t="inlineStr"/>
      <c r="Z44" t="inlineStr">
        <is>
          <t>high</t>
        </is>
      </c>
      <c r="AA44" t="inlineStr">
        <is>
          <t>A9:india</t>
        </is>
      </c>
      <c r="AB44" t="inlineStr"/>
      <c r="AC44" t="n">
        <v>18.9008</v>
      </c>
    </row>
    <row r="45">
      <c r="A45" t="inlineStr">
        <is>
          <t>LM00044</t>
        </is>
      </c>
      <c r="B45" t="inlineStr">
        <is>
          <t>Defining the ideal public space: A perspective from the publicness</t>
        </is>
      </c>
      <c r="C45" t="n">
        <v>2022</v>
      </c>
      <c r="D45" t="inlineStr">
        <is>
          <t>Juan Li; Anrong Dang; Yan Song</t>
        </is>
      </c>
      <c r="E45" t="inlineStr">
        <is>
          <t>Journal of Urban Management</t>
        </is>
      </c>
      <c r="F45" t="inlineStr">
        <is>
          <t>article</t>
        </is>
      </c>
      <c r="G45" t="inlineStr">
        <is>
          <t>10.1016/j.jum.2022.08.005</t>
        </is>
      </c>
      <c r="H45" t="inlineStr">
        <is>
          <t>W4296371893</t>
        </is>
      </c>
      <c r="I45" t="inlineStr">
        <is>
          <t>https://doi.org/10.1016/j.jum.2022.08.005</t>
        </is>
      </c>
      <c r="J45" t="inlineStr">
        <is>
          <t>https://www.sciencedirect.com/science/article/pii/S2226585622000735/pdf</t>
        </is>
      </c>
      <c r="K45" t="n">
        <v>75</v>
      </c>
      <c r="L45" t="inlineStr">
        <is>
          <t>A</t>
        </is>
      </c>
      <c r="M45" t="inlineStr">
        <is>
          <t>A9</t>
        </is>
      </c>
      <c r="N45" t="inlineStr"/>
      <c r="O45" t="inlineStr"/>
      <c r="P45" t="inlineStr">
        <is>
          <t>Not place-specific</t>
        </is>
      </c>
      <c r="Q45" t="inlineStr"/>
      <c r="R45" t="inlineStr"/>
      <c r="S45" t="inlineStr"/>
      <c r="T45" t="inlineStr">
        <is>
          <t>conceptual</t>
        </is>
      </c>
      <c r="U45" t="inlineStr"/>
      <c r="V45" t="inlineStr">
        <is>
          <t>Y</t>
        </is>
      </c>
      <c r="W45" t="inlineStr">
        <is>
          <t>auto: This paper reviews the definitions and dimensions of publicness from both theoretical and empirical perspectives, and concludes four synthesized dimensions of publicness: ownership, accessibility, management, and inclusiveness.</t>
        </is>
      </c>
      <c r="X45" t="inlineStr"/>
      <c r="Y45" t="inlineStr"/>
      <c r="Z45" t="inlineStr">
        <is>
          <t>medium</t>
        </is>
      </c>
      <c r="AA45" t="inlineStr">
        <is>
          <t>A9:recent</t>
        </is>
      </c>
      <c r="AB45" t="inlineStr">
        <is>
          <t>W7141683532</t>
        </is>
      </c>
      <c r="AC45" t="n">
        <v>28.4475</v>
      </c>
    </row>
    <row r="46">
      <c r="A46" t="inlineStr">
        <is>
          <t>LM00045</t>
        </is>
      </c>
      <c r="B46" t="inlineStr">
        <is>
          <t>The Slow Boil: Street Food, Rights and Public Space in Mumbai</t>
        </is>
      </c>
      <c r="C46" t="n">
        <v>2016</v>
      </c>
      <c r="D46" t="inlineStr">
        <is>
          <t>Jonathan Shapiro Anjaria</t>
        </is>
      </c>
      <c r="E46" t="inlineStr"/>
      <c r="F46" t="inlineStr">
        <is>
          <t>article</t>
        </is>
      </c>
      <c r="G46" t="inlineStr"/>
      <c r="H46" t="inlineStr">
        <is>
          <t>W2971954793</t>
        </is>
      </c>
      <c r="I46" t="inlineStr">
        <is>
          <t>https://bvbr.bib-bvb.de:443/F?func=service&amp;doc_library=BVB01&amp;local_base=BVB01&amp;doc_number=028899835&amp;sequence=000001&amp;line_number=0001&amp;func_code=DB_RECORDS&amp;service_type=MEDIA</t>
        </is>
      </c>
      <c r="J46" t="inlineStr"/>
      <c r="K46" t="n">
        <v>69</v>
      </c>
      <c r="L46" t="inlineStr">
        <is>
          <t>A</t>
        </is>
      </c>
      <c r="M46" t="inlineStr">
        <is>
          <t>A9</t>
        </is>
      </c>
      <c r="N46" t="inlineStr"/>
      <c r="O46" t="inlineStr">
        <is>
          <t>Mumbai</t>
        </is>
      </c>
      <c r="P46" t="inlineStr">
        <is>
          <t>South Asia</t>
        </is>
      </c>
      <c r="Q46" t="inlineStr">
        <is>
          <t>Y</t>
        </is>
      </c>
      <c r="R46" t="inlineStr"/>
      <c r="S46" t="inlineStr"/>
      <c r="T46" t="inlineStr">
        <is>
          <t>unclear</t>
        </is>
      </c>
      <c r="U46" t="inlineStr"/>
      <c r="V46" t="inlineStr"/>
      <c r="W46" t="inlineStr"/>
      <c r="X46" t="inlineStr"/>
      <c r="Y46" t="inlineStr"/>
      <c r="Z46" t="inlineStr">
        <is>
          <t>low</t>
        </is>
      </c>
      <c r="AA46" t="inlineStr">
        <is>
          <t>A9:india</t>
        </is>
      </c>
      <c r="AB46" t="inlineStr"/>
      <c r="AC46" t="n">
        <v>18.4059</v>
      </c>
    </row>
    <row r="47">
      <c r="A47" t="inlineStr">
        <is>
          <t>LM00046</t>
        </is>
      </c>
      <c r="B47" t="inlineStr">
        <is>
          <t>Women’s Safety and Public Spaces: Lessons from the Sabarmati Riverfront, India</t>
        </is>
      </c>
      <c r="C47" t="n">
        <v>2019</v>
      </c>
      <c r="D47" t="inlineStr">
        <is>
          <t>Darshini Mahadevia; Saumya Lathia</t>
        </is>
      </c>
      <c r="E47" t="inlineStr">
        <is>
          <t>Urban Planning</t>
        </is>
      </c>
      <c r="F47" t="inlineStr">
        <is>
          <t>article</t>
        </is>
      </c>
      <c r="G47" t="inlineStr">
        <is>
          <t>10.17645/up.v4i2.2049</t>
        </is>
      </c>
      <c r="H47" t="inlineStr">
        <is>
          <t>W2954324003</t>
        </is>
      </c>
      <c r="I47" t="inlineStr">
        <is>
          <t>https://doi.org/10.17645/up.v4i2.2049</t>
        </is>
      </c>
      <c r="J47" t="inlineStr">
        <is>
          <t>https://www.cogitatiopress.com/urbanplanning/article/download/2049/2049</t>
        </is>
      </c>
      <c r="K47" t="n">
        <v>55</v>
      </c>
      <c r="L47" t="inlineStr">
        <is>
          <t>A</t>
        </is>
      </c>
      <c r="M47" t="inlineStr">
        <is>
          <t>A9</t>
        </is>
      </c>
      <c r="N47" t="inlineStr"/>
      <c r="O47" t="inlineStr">
        <is>
          <t>Ahmedabad; India</t>
        </is>
      </c>
      <c r="P47" t="inlineStr">
        <is>
          <t>South Asia</t>
        </is>
      </c>
      <c r="Q47" t="inlineStr">
        <is>
          <t>Y</t>
        </is>
      </c>
      <c r="R47" t="inlineStr"/>
      <c r="S47" t="inlineStr"/>
      <c r="T47" t="inlineStr">
        <is>
          <t>conceptual</t>
        </is>
      </c>
      <c r="U47" t="inlineStr"/>
      <c r="V47" t="inlineStr"/>
      <c r="W47" t="inlineStr">
        <is>
          <t>auto: This article is an assessment of how safe Ahmedabad city’s largest public space, the Sabarmati Riverfront, is for women.</t>
        </is>
      </c>
      <c r="X47" t="inlineStr"/>
      <c r="Y47" t="inlineStr"/>
      <c r="Z47" t="inlineStr">
        <is>
          <t>high</t>
        </is>
      </c>
      <c r="AA47" t="inlineStr">
        <is>
          <t>A9:india</t>
        </is>
      </c>
      <c r="AB47" t="inlineStr"/>
      <c r="AC47" t="n">
        <v>8.674899999999999</v>
      </c>
    </row>
    <row r="48">
      <c r="A48" t="inlineStr">
        <is>
          <t>LM00047</t>
        </is>
      </c>
      <c r="B48" t="inlineStr">
        <is>
          <t>Safe in the City? Negotiating safety, public space and the male gaze in Kolkata, India</t>
        </is>
      </c>
      <c r="C48" t="n">
        <v>2021</v>
      </c>
      <c r="D48" t="inlineStr">
        <is>
          <t>Sanghamitra Roy; Ajay Bailey</t>
        </is>
      </c>
      <c r="E48" t="inlineStr">
        <is>
          <t>Cities</t>
        </is>
      </c>
      <c r="F48" t="inlineStr">
        <is>
          <t>article</t>
        </is>
      </c>
      <c r="G48" t="inlineStr">
        <is>
          <t>10.1016/j.cities.2021.103321</t>
        </is>
      </c>
      <c r="H48" t="inlineStr">
        <is>
          <t>W3181114874</t>
        </is>
      </c>
      <c r="I48" t="inlineStr">
        <is>
          <t>https://doi.org/10.1016/j.cities.2021.103321</t>
        </is>
      </c>
      <c r="J48" t="inlineStr">
        <is>
          <t>https://www.sciencedirect.com/science/article/pii/S0264275121002213/pdf</t>
        </is>
      </c>
      <c r="K48" t="n">
        <v>55</v>
      </c>
      <c r="L48" t="inlineStr">
        <is>
          <t>A</t>
        </is>
      </c>
      <c r="M48" t="inlineStr">
        <is>
          <t>A9</t>
        </is>
      </c>
      <c r="N48" t="inlineStr"/>
      <c r="O48" t="inlineStr">
        <is>
          <t>India; Kolkata</t>
        </is>
      </c>
      <c r="P48" t="inlineStr">
        <is>
          <t>South Asia</t>
        </is>
      </c>
      <c r="Q48" t="inlineStr">
        <is>
          <t>Y</t>
        </is>
      </c>
      <c r="R48" t="inlineStr"/>
      <c r="S48" t="inlineStr"/>
      <c r="T48" t="inlineStr">
        <is>
          <t>mixed</t>
        </is>
      </c>
      <c r="U48" t="inlineStr"/>
      <c r="V48" t="inlineStr"/>
      <c r="W48" t="inlineStr">
        <is>
          <t>auto: This study aims to understand how people and their actions in public spaces shape perceptions of safety amongst women, and how women negotiate public spaces to avoid such incidents of harassment.</t>
        </is>
      </c>
      <c r="X48" t="inlineStr"/>
      <c r="Y48" t="inlineStr"/>
      <c r="Z48" t="inlineStr">
        <is>
          <t>high</t>
        </is>
      </c>
      <c r="AA48" t="inlineStr">
        <is>
          <t>A9:india</t>
        </is>
      </c>
      <c r="AB48" t="inlineStr"/>
      <c r="AC48" t="n">
        <v>9.467000000000001</v>
      </c>
    </row>
    <row r="49">
      <c r="A49" t="inlineStr">
        <is>
          <t>LM00048</t>
        </is>
      </c>
      <c r="B49" t="inlineStr">
        <is>
          <t>Streets as Public Spaces: Lessons from Street Vending in Ahmedabad, India</t>
        </is>
      </c>
      <c r="C49" t="n">
        <v>2019</v>
      </c>
      <c r="D49" t="inlineStr">
        <is>
          <t>Prithvi Deore; Saumya Lathia</t>
        </is>
      </c>
      <c r="E49" t="inlineStr">
        <is>
          <t>Urban Planning</t>
        </is>
      </c>
      <c r="F49" t="inlineStr">
        <is>
          <t>article</t>
        </is>
      </c>
      <c r="G49" t="inlineStr">
        <is>
          <t>10.17645/up.v4i2.2058</t>
        </is>
      </c>
      <c r="H49" t="inlineStr">
        <is>
          <t>W2955343688</t>
        </is>
      </c>
      <c r="I49" t="inlineStr">
        <is>
          <t>https://doi.org/10.17645/up.v4i2.2058</t>
        </is>
      </c>
      <c r="J49" t="inlineStr">
        <is>
          <t>https://www.cogitatiopress.com/urbanplanning/article/download/2058/2058</t>
        </is>
      </c>
      <c r="K49" t="n">
        <v>45</v>
      </c>
      <c r="L49" t="inlineStr">
        <is>
          <t>A</t>
        </is>
      </c>
      <c r="M49" t="inlineStr">
        <is>
          <t>A9</t>
        </is>
      </c>
      <c r="N49" t="inlineStr"/>
      <c r="O49" t="inlineStr">
        <is>
          <t>Ahmedabad; India</t>
        </is>
      </c>
      <c r="P49" t="inlineStr">
        <is>
          <t>South Asia</t>
        </is>
      </c>
      <c r="Q49" t="inlineStr">
        <is>
          <t>Y</t>
        </is>
      </c>
      <c r="R49" t="inlineStr"/>
      <c r="S49" t="inlineStr"/>
      <c r="T49" t="inlineStr">
        <is>
          <t>computational</t>
        </is>
      </c>
      <c r="U49" t="inlineStr"/>
      <c r="V49" t="inlineStr"/>
      <c r="W49" t="inlineStr">
        <is>
          <t>auto: Public spaces go beyond the typical definition of being an open space.</t>
        </is>
      </c>
      <c r="X49" t="inlineStr"/>
      <c r="Y49" t="inlineStr"/>
      <c r="Z49" t="inlineStr">
        <is>
          <t>high</t>
        </is>
      </c>
      <c r="AA49" t="inlineStr">
        <is>
          <t>A9:india</t>
        </is>
      </c>
      <c r="AB49" t="inlineStr"/>
      <c r="AC49" t="n">
        <v>7.6495</v>
      </c>
    </row>
    <row r="50">
      <c r="A50" t="inlineStr">
        <is>
          <t>LM00049</t>
        </is>
      </c>
      <c r="B50" t="inlineStr">
        <is>
          <t>Defending Frivolous Fun: Feminist Acts of Claiming Public Spaces in South Asia</t>
        </is>
      </c>
      <c r="C50" t="n">
        <v>2020</v>
      </c>
      <c r="D50" t="inlineStr">
        <is>
          <t>Shilpa Phadke</t>
        </is>
      </c>
      <c r="E50" t="inlineStr">
        <is>
          <t>South Asia Journal of South Asian Studies</t>
        </is>
      </c>
      <c r="F50" t="inlineStr">
        <is>
          <t>article</t>
        </is>
      </c>
      <c r="G50" t="inlineStr">
        <is>
          <t>10.1080/00856401.2020.1703245</t>
        </is>
      </c>
      <c r="H50" t="inlineStr">
        <is>
          <t>W3007872607</t>
        </is>
      </c>
      <c r="I50" t="inlineStr">
        <is>
          <t>https://doi.org/10.1080/00856401.2020.1703245</t>
        </is>
      </c>
      <c r="J50" t="inlineStr"/>
      <c r="K50" t="n">
        <v>36</v>
      </c>
      <c r="L50" t="inlineStr">
        <is>
          <t>A</t>
        </is>
      </c>
      <c r="M50" t="inlineStr">
        <is>
          <t>A9</t>
        </is>
      </c>
      <c r="N50" t="inlineStr"/>
      <c r="O50" t="inlineStr">
        <is>
          <t>India; Pakistan; South Asia</t>
        </is>
      </c>
      <c r="P50" t="inlineStr">
        <is>
          <t>South Asia</t>
        </is>
      </c>
      <c r="Q50" t="inlineStr">
        <is>
          <t>Y</t>
        </is>
      </c>
      <c r="R50" t="inlineStr"/>
      <c r="S50" t="inlineStr"/>
      <c r="T50" t="inlineStr">
        <is>
          <t>conceptual</t>
        </is>
      </c>
      <c r="U50" t="inlineStr"/>
      <c r="V50" t="inlineStr"/>
      <c r="W50" t="inlineStr">
        <is>
          <t>auto: That is the question that animates this paper.</t>
        </is>
      </c>
      <c r="X50" t="inlineStr"/>
      <c r="Y50" t="inlineStr"/>
      <c r="Z50" t="inlineStr">
        <is>
          <t>high</t>
        </is>
      </c>
      <c r="AA50" t="inlineStr">
        <is>
          <t>A9:india</t>
        </is>
      </c>
      <c r="AB50" t="inlineStr"/>
      <c r="AC50" t="n">
        <v>7.5285</v>
      </c>
    </row>
    <row r="51">
      <c r="A51" t="inlineStr">
        <is>
          <t>LM00050</t>
        </is>
      </c>
      <c r="B51" t="inlineStr">
        <is>
          <t>To Whom Does the City Belong? Obstacles to Right to the City for the Urban Poor in Bangladesh</t>
        </is>
      </c>
      <c r="C51" t="n">
        <v>2020</v>
      </c>
      <c r="D51" t="inlineStr">
        <is>
          <t>Lutfun Nahar Lata</t>
        </is>
      </c>
      <c r="E51" t="inlineStr">
        <is>
          <t>Journal of Contemporary Asia</t>
        </is>
      </c>
      <c r="F51" t="inlineStr">
        <is>
          <t>article</t>
        </is>
      </c>
      <c r="G51" t="inlineStr">
        <is>
          <t>10.1080/00472336.2020.1791934</t>
        </is>
      </c>
      <c r="H51" t="inlineStr">
        <is>
          <t>W3047234866</t>
        </is>
      </c>
      <c r="I51" t="inlineStr">
        <is>
          <t>https://doi.org/10.1080/00472336.2020.1791934</t>
        </is>
      </c>
      <c r="J51" t="inlineStr"/>
      <c r="K51" t="n">
        <v>35</v>
      </c>
      <c r="L51" t="inlineStr">
        <is>
          <t>A</t>
        </is>
      </c>
      <c r="M51" t="inlineStr">
        <is>
          <t>A9</t>
        </is>
      </c>
      <c r="N51" t="inlineStr"/>
      <c r="O51" t="inlineStr">
        <is>
          <t>Bangladesh; Dhaka</t>
        </is>
      </c>
      <c r="P51" t="inlineStr">
        <is>
          <t>South Asia</t>
        </is>
      </c>
      <c r="Q51" t="inlineStr"/>
      <c r="R51" t="inlineStr"/>
      <c r="S51" t="inlineStr"/>
      <c r="T51" t="inlineStr">
        <is>
          <t>qualitative</t>
        </is>
      </c>
      <c r="U51" t="inlineStr"/>
      <c r="V51" t="inlineStr"/>
      <c r="W51" t="inlineStr">
        <is>
          <t>auto: Within this context, this article explores how city authorities deny a right to the city for the urban poor.</t>
        </is>
      </c>
      <c r="X51" t="inlineStr">
        <is>
          <t>auto: Due to a lack of available job opportunities in the formal sector and financial resources, in most parts of the developing world the urban poor rely on access to urban public space for earning their livelihoods.</t>
        </is>
      </c>
      <c r="Y51" t="inlineStr"/>
      <c r="Z51" t="inlineStr">
        <is>
          <t>high</t>
        </is>
      </c>
      <c r="AA51" t="inlineStr">
        <is>
          <t>A9:india</t>
        </is>
      </c>
      <c r="AB51" t="inlineStr"/>
      <c r="AC51" t="n">
        <v>9.7197</v>
      </c>
    </row>
    <row r="52">
      <c r="A52" t="inlineStr">
        <is>
          <t>LM00051</t>
        </is>
      </c>
      <c r="B52" t="inlineStr">
        <is>
          <t>Informal laneway encroachment: Reassessing public/private interface transformation in urban villages</t>
        </is>
      </c>
      <c r="C52" t="n">
        <v>2020</v>
      </c>
      <c r="D52" t="inlineStr">
        <is>
          <t>Matthijs van Oostrum</t>
        </is>
      </c>
      <c r="E52" t="inlineStr">
        <is>
          <t>Habitat International</t>
        </is>
      </c>
      <c r="F52" t="inlineStr">
        <is>
          <t>article</t>
        </is>
      </c>
      <c r="G52" t="inlineStr">
        <is>
          <t>10.1016/j.habitatint.2020.102259</t>
        </is>
      </c>
      <c r="H52" t="inlineStr">
        <is>
          <t>W3086011530</t>
        </is>
      </c>
      <c r="I52" t="inlineStr">
        <is>
          <t>https://doi.org/10.1016/j.habitatint.2020.102259</t>
        </is>
      </c>
      <c r="J52" t="inlineStr"/>
      <c r="K52" t="n">
        <v>30</v>
      </c>
      <c r="L52" t="inlineStr">
        <is>
          <t>A</t>
        </is>
      </c>
      <c r="M52" t="inlineStr">
        <is>
          <t>A9</t>
        </is>
      </c>
      <c r="N52" t="inlineStr"/>
      <c r="O52" t="inlineStr"/>
      <c r="P52" t="inlineStr">
        <is>
          <t>Not place-specific</t>
        </is>
      </c>
      <c r="Q52" t="inlineStr"/>
      <c r="R52" t="inlineStr"/>
      <c r="S52" t="inlineStr"/>
      <c r="T52" t="inlineStr">
        <is>
          <t>unclear</t>
        </is>
      </c>
      <c r="U52" t="inlineStr"/>
      <c r="V52" t="inlineStr"/>
      <c r="W52" t="inlineStr"/>
      <c r="X52" t="inlineStr"/>
      <c r="Y52" t="inlineStr"/>
      <c r="Z52" t="inlineStr">
        <is>
          <t>low</t>
        </is>
      </c>
      <c r="AA52" t="inlineStr">
        <is>
          <t>A9:india</t>
        </is>
      </c>
      <c r="AB52" t="inlineStr"/>
      <c r="AC52" t="n">
        <v>7.0198</v>
      </c>
    </row>
    <row r="53">
      <c r="A53" t="inlineStr">
        <is>
          <t>LM00052</t>
        </is>
      </c>
      <c r="B53" t="inlineStr">
        <is>
          <t>Public space and its publicness in people-oriented urban regeneration: A case study of Shanghai</t>
        </is>
      </c>
      <c r="C53" t="n">
        <v>2023</v>
      </c>
      <c r="D53" t="inlineStr">
        <is>
          <t>Jingyi Zhu</t>
        </is>
      </c>
      <c r="E53" t="inlineStr">
        <is>
          <t>Journal of Urban Affairs</t>
        </is>
      </c>
      <c r="F53" t="inlineStr">
        <is>
          <t>article</t>
        </is>
      </c>
      <c r="G53" t="inlineStr">
        <is>
          <t>10.1080/07352166.2023.2279597</t>
        </is>
      </c>
      <c r="H53" t="inlineStr">
        <is>
          <t>W4388862193</t>
        </is>
      </c>
      <c r="I53" t="inlineStr">
        <is>
          <t>https://doi.org/10.1080/07352166.2023.2279597</t>
        </is>
      </c>
      <c r="J53" t="inlineStr">
        <is>
          <t>https://www.tandfonline.com/doi/pdf/10.1080/07352166.2023.2279597?needAccess=true</t>
        </is>
      </c>
      <c r="K53" t="n">
        <v>21</v>
      </c>
      <c r="L53" t="inlineStr">
        <is>
          <t>A</t>
        </is>
      </c>
      <c r="M53" t="inlineStr">
        <is>
          <t>A9</t>
        </is>
      </c>
      <c r="N53" t="inlineStr"/>
      <c r="O53" t="inlineStr">
        <is>
          <t>Shanghai</t>
        </is>
      </c>
      <c r="P53" t="inlineStr">
        <is>
          <t>China &amp; East Asia</t>
        </is>
      </c>
      <c r="Q53" t="inlineStr"/>
      <c r="R53" t="inlineStr"/>
      <c r="S53" t="inlineStr"/>
      <c r="T53" t="inlineStr">
        <is>
          <t>qualitative</t>
        </is>
      </c>
      <c r="U53" t="inlineStr"/>
      <c r="V53" t="inlineStr">
        <is>
          <t>Y</t>
        </is>
      </c>
      <c r="W53" t="inlineStr">
        <is>
          <t>auto: The paper explores the role of public space development in helping Shanghai strive for an “excellent global city,” an ambition prescribed by the city’s latest master plan, through quality- and people-oriented urban regeneration.</t>
        </is>
      </c>
      <c r="X53" t="inlineStr"/>
      <c r="Y53" t="inlineStr"/>
      <c r="Z53" t="inlineStr">
        <is>
          <t>high</t>
        </is>
      </c>
      <c r="AA53" t="inlineStr">
        <is>
          <t>A9:recent</t>
        </is>
      </c>
      <c r="AB53" t="inlineStr"/>
      <c r="AC53" t="n">
        <v>12.762</v>
      </c>
    </row>
    <row r="54">
      <c r="A54" t="inlineStr">
        <is>
          <t>LM00053</t>
        </is>
      </c>
      <c r="B54" t="inlineStr">
        <is>
          <t>Urban mobility infrastructures as public spaces: The uses of Sé subway station in downtown São Paulo</t>
        </is>
      </c>
      <c r="C54" t="n">
        <v>2023</v>
      </c>
      <c r="D54" t="inlineStr">
        <is>
          <t>Cristiana Martin</t>
        </is>
      </c>
      <c r="E54" t="inlineStr">
        <is>
          <t>Urban Studies</t>
        </is>
      </c>
      <c r="F54" t="inlineStr">
        <is>
          <t>article</t>
        </is>
      </c>
      <c r="G54" t="inlineStr">
        <is>
          <t>10.1177/00420980221130291</t>
        </is>
      </c>
      <c r="H54" t="inlineStr">
        <is>
          <t>W4318619317</t>
        </is>
      </c>
      <c r="I54" t="inlineStr">
        <is>
          <t>https://doi.org/10.1177/00420980221130291</t>
        </is>
      </c>
      <c r="J54" t="inlineStr"/>
      <c r="K54" t="n">
        <v>20</v>
      </c>
      <c r="L54" t="inlineStr">
        <is>
          <t>A</t>
        </is>
      </c>
      <c r="M54" t="inlineStr">
        <is>
          <t>A9</t>
        </is>
      </c>
      <c r="N54" t="inlineStr"/>
      <c r="O54" t="inlineStr">
        <is>
          <t>São Paulo</t>
        </is>
      </c>
      <c r="P54" t="inlineStr">
        <is>
          <t>Latin America</t>
        </is>
      </c>
      <c r="Q54" t="inlineStr"/>
      <c r="R54" t="inlineStr"/>
      <c r="S54" t="inlineStr"/>
      <c r="T54" t="inlineStr">
        <is>
          <t>conceptual</t>
        </is>
      </c>
      <c r="U54" t="inlineStr"/>
      <c r="V54" t="inlineStr">
        <is>
          <t>Y</t>
        </is>
      </c>
      <c r="W54" t="inlineStr">
        <is>
          <t>auto: This article aims to contribute to the discussion on the publicness of public spaces by focusing on the uses of free access areas in urban mobility infrastructures such as subway stations, especially those uses not associated with mobility, transit and passenger flow – I call them ‘non-transit us…</t>
        </is>
      </c>
      <c r="X54" t="inlineStr"/>
      <c r="Y54" t="inlineStr"/>
      <c r="Z54" t="inlineStr">
        <is>
          <t>high</t>
        </is>
      </c>
      <c r="AA54" t="inlineStr">
        <is>
          <t>A9:recent</t>
        </is>
      </c>
      <c r="AB54" t="inlineStr"/>
      <c r="AC54" t="n">
        <v>12.1543</v>
      </c>
    </row>
    <row r="55">
      <c r="A55" t="inlineStr">
        <is>
          <t>LM00054</t>
        </is>
      </c>
      <c r="B55" t="inlineStr">
        <is>
          <t>The Street Vendors Act and the right to public space in Mumbai</t>
        </is>
      </c>
      <c r="C55" t="n">
        <v>2018</v>
      </c>
      <c r="D55" t="inlineStr">
        <is>
          <t>Lola Salès</t>
        </is>
      </c>
      <c r="E55" t="inlineStr">
        <is>
          <t>Articulo – revue de sciences humaines</t>
        </is>
      </c>
      <c r="F55" t="inlineStr">
        <is>
          <t>article</t>
        </is>
      </c>
      <c r="G55" t="inlineStr">
        <is>
          <t>10.4000/articulo.3631</t>
        </is>
      </c>
      <c r="H55" t="inlineStr">
        <is>
          <t>W2891408190</t>
        </is>
      </c>
      <c r="I55" t="inlineStr">
        <is>
          <t>https://doi.org/10.4000/articulo.3631</t>
        </is>
      </c>
      <c r="J55" t="inlineStr">
        <is>
          <t>https://doi.org/10.4000/articulo.3631</t>
        </is>
      </c>
      <c r="K55" t="n">
        <v>17</v>
      </c>
      <c r="L55" t="inlineStr">
        <is>
          <t>A</t>
        </is>
      </c>
      <c r="M55" t="inlineStr">
        <is>
          <t>A9</t>
        </is>
      </c>
      <c r="N55" t="inlineStr"/>
      <c r="O55" t="inlineStr">
        <is>
          <t>India; Mumbai</t>
        </is>
      </c>
      <c r="P55" t="inlineStr">
        <is>
          <t>South Asia</t>
        </is>
      </c>
      <c r="Q55" t="inlineStr">
        <is>
          <t>Y</t>
        </is>
      </c>
      <c r="R55" t="inlineStr"/>
      <c r="S55" t="inlineStr"/>
      <c r="T55" t="inlineStr">
        <is>
          <t>unclear</t>
        </is>
      </c>
      <c r="U55" t="inlineStr"/>
      <c r="V55" t="inlineStr"/>
      <c r="W55" t="inlineStr">
        <is>
          <t>auto: This article explores the ordinary practices, the social, political and spatial “tactics” and “strategies” employed by street vendors to access and capture public space, at the time of the introduction of the Street Vendors Act.</t>
        </is>
      </c>
      <c r="X55" t="inlineStr"/>
      <c r="Y55" t="inlineStr"/>
      <c r="Z55" t="inlineStr">
        <is>
          <t>high</t>
        </is>
      </c>
      <c r="AA55" t="inlineStr">
        <is>
          <t>A9:india</t>
        </is>
      </c>
      <c r="AB55" t="inlineStr"/>
      <c r="AC55" t="n">
        <v>4.9708</v>
      </c>
    </row>
    <row r="56">
      <c r="A56" t="inlineStr">
        <is>
          <t>LM00055</t>
        </is>
      </c>
      <c r="B56" t="inlineStr">
        <is>
          <t>Understanding vitality of public space: A review with an example of capital city Kathmandu in Nepal</t>
        </is>
      </c>
      <c r="C56" t="n">
        <v>2023</v>
      </c>
      <c r="D56" t="inlineStr">
        <is>
          <t>Uttam Paudel; Krishna Prasad Pant</t>
        </is>
      </c>
      <c r="E56" t="inlineStr">
        <is>
          <t>Land Use Policy</t>
        </is>
      </c>
      <c r="F56" t="inlineStr">
        <is>
          <t>article</t>
        </is>
      </c>
      <c r="G56" t="inlineStr">
        <is>
          <t>10.1016/j.landusepol.2023.106860</t>
        </is>
      </c>
      <c r="H56" t="inlineStr">
        <is>
          <t>W4386155199</t>
        </is>
      </c>
      <c r="I56" t="inlineStr">
        <is>
          <t>https://doi.org/10.1016/j.landusepol.2023.106860</t>
        </is>
      </c>
      <c r="J56" t="inlineStr"/>
      <c r="K56" t="n">
        <v>14</v>
      </c>
      <c r="L56" t="inlineStr">
        <is>
          <t>A</t>
        </is>
      </c>
      <c r="M56" t="inlineStr">
        <is>
          <t>A9</t>
        </is>
      </c>
      <c r="N56" t="inlineStr"/>
      <c r="O56" t="inlineStr">
        <is>
          <t>Kathmandu; Nepal</t>
        </is>
      </c>
      <c r="P56" t="inlineStr">
        <is>
          <t>South Asia</t>
        </is>
      </c>
      <c r="Q56" t="inlineStr"/>
      <c r="R56" t="inlineStr"/>
      <c r="S56" t="inlineStr"/>
      <c r="T56" t="inlineStr">
        <is>
          <t>unclear</t>
        </is>
      </c>
      <c r="U56" t="inlineStr"/>
      <c r="V56" t="inlineStr"/>
      <c r="W56" t="inlineStr"/>
      <c r="X56" t="inlineStr"/>
      <c r="Y56" t="inlineStr"/>
      <c r="Z56" t="inlineStr">
        <is>
          <t>low</t>
        </is>
      </c>
      <c r="AA56" t="inlineStr">
        <is>
          <t>A9:india</t>
        </is>
      </c>
      <c r="AB56" t="inlineStr"/>
      <c r="AC56" t="n">
        <v>1.4899</v>
      </c>
    </row>
    <row r="57">
      <c r="A57" t="inlineStr">
        <is>
          <t>LM00056</t>
        </is>
      </c>
      <c r="B57" t="inlineStr">
        <is>
          <t>Ruptured space and spatial estrangement: (Un)making of public space in Kathmandu</t>
        </is>
      </c>
      <c r="C57" t="n">
        <v>2017</v>
      </c>
      <c r="D57" t="inlineStr">
        <is>
          <t>Urmi Sengupta</t>
        </is>
      </c>
      <c r="E57" t="inlineStr">
        <is>
          <t>Urban Studies</t>
        </is>
      </c>
      <c r="F57" t="inlineStr">
        <is>
          <t>article</t>
        </is>
      </c>
      <c r="G57" t="inlineStr">
        <is>
          <t>10.1177/0042098017727689</t>
        </is>
      </c>
      <c r="H57" t="inlineStr">
        <is>
          <t>W2766546903</t>
        </is>
      </c>
      <c r="I57" t="inlineStr">
        <is>
          <t>https://doi.org/10.1177/0042098017727689</t>
        </is>
      </c>
      <c r="J57" t="inlineStr">
        <is>
          <t>https://pureadmin.qub.ac.uk/ws/files/133110023/public_space_Urban_Studies.PDF</t>
        </is>
      </c>
      <c r="K57" t="n">
        <v>11</v>
      </c>
      <c r="L57" t="inlineStr">
        <is>
          <t>A</t>
        </is>
      </c>
      <c r="M57" t="inlineStr">
        <is>
          <t>A9</t>
        </is>
      </c>
      <c r="N57" t="inlineStr"/>
      <c r="O57" t="inlineStr">
        <is>
          <t>Kathmandu</t>
        </is>
      </c>
      <c r="P57" t="inlineStr">
        <is>
          <t>South Asia</t>
        </is>
      </c>
      <c r="Q57" t="inlineStr"/>
      <c r="R57" t="inlineStr"/>
      <c r="S57" t="inlineStr"/>
      <c r="T57" t="inlineStr">
        <is>
          <t>conceptual</t>
        </is>
      </c>
      <c r="U57" t="inlineStr"/>
      <c r="V57" t="inlineStr"/>
      <c r="W57" t="inlineStr">
        <is>
          <t>auto: Public space is increasingly recognised to be central to spatial discourse of cities.</t>
        </is>
      </c>
      <c r="X57" t="inlineStr"/>
      <c r="Y57" t="inlineStr"/>
      <c r="Z57" t="inlineStr">
        <is>
          <t>high</t>
        </is>
      </c>
      <c r="AA57" t="inlineStr">
        <is>
          <t>A9:india</t>
        </is>
      </c>
      <c r="AB57" t="inlineStr"/>
      <c r="AC57" t="n">
        <v>1.9229</v>
      </c>
    </row>
    <row r="58">
      <c r="A58" t="inlineStr">
        <is>
          <t>LM00057</t>
        </is>
      </c>
      <c r="B58" t="inlineStr">
        <is>
          <t>Do welfare states need privately owned public spaces? The relevance of and need for such spaces in German cities</t>
        </is>
      </c>
      <c r="C58" t="n">
        <v>2022</v>
      </c>
      <c r="D58" t="inlineStr">
        <is>
          <t>Dahae Lee; Nele Scholten</t>
        </is>
      </c>
      <c r="E58" t="inlineStr">
        <is>
          <t>Journal of Urban Design</t>
        </is>
      </c>
      <c r="F58" t="inlineStr">
        <is>
          <t>article</t>
        </is>
      </c>
      <c r="G58" t="inlineStr">
        <is>
          <t>10.1080/13574809.2022.2036110</t>
        </is>
      </c>
      <c r="H58" t="inlineStr">
        <is>
          <t>W4210910760</t>
        </is>
      </c>
      <c r="I58" t="inlineStr">
        <is>
          <t>https://doi.org/10.1080/13574809.2022.2036110</t>
        </is>
      </c>
      <c r="J58" t="inlineStr"/>
      <c r="K58" t="n">
        <v>11</v>
      </c>
      <c r="L58" t="inlineStr">
        <is>
          <t>A</t>
        </is>
      </c>
      <c r="M58" t="inlineStr">
        <is>
          <t>A9</t>
        </is>
      </c>
      <c r="N58" t="inlineStr"/>
      <c r="O58" t="inlineStr">
        <is>
          <t>Germany; New York</t>
        </is>
      </c>
      <c r="P58" t="inlineStr">
        <is>
          <t>Global North</t>
        </is>
      </c>
      <c r="Q58" t="inlineStr"/>
      <c r="R58" t="inlineStr"/>
      <c r="S58" t="inlineStr"/>
      <c r="T58" t="inlineStr">
        <is>
          <t>mixed</t>
        </is>
      </c>
      <c r="U58" t="inlineStr"/>
      <c r="V58" t="inlineStr">
        <is>
          <t>Y</t>
        </is>
      </c>
      <c r="W58" t="inlineStr">
        <is>
          <t>auto: This paper examines to what extent this type of space is relevant and needed for German cities where the private sector involvement is limited.</t>
        </is>
      </c>
      <c r="X58" t="inlineStr"/>
      <c r="Y58" t="inlineStr"/>
      <c r="Z58" t="inlineStr">
        <is>
          <t>high</t>
        </is>
      </c>
      <c r="AA58" t="inlineStr">
        <is>
          <t>A9:recent</t>
        </is>
      </c>
      <c r="AB58" t="inlineStr"/>
      <c r="AC58" t="n">
        <v>4.9507</v>
      </c>
    </row>
    <row r="59">
      <c r="A59" t="inlineStr">
        <is>
          <t>LM00058</t>
        </is>
      </c>
      <c r="B59" t="inlineStr">
        <is>
          <t>How public are hybrid public spaces? Assessing publicness of privately owned public spaces in Hamburg</t>
        </is>
      </c>
      <c r="C59" t="n">
        <v>2023</v>
      </c>
      <c r="D59" t="inlineStr">
        <is>
          <t>Alistair Dunlop; Ole Hübert; Lubna Aqel; Reda Abdelilah; Dahae Lee</t>
        </is>
      </c>
      <c r="E59" t="inlineStr">
        <is>
          <t>Journal of Urbanism International Research on Placemaking and Urban Sustainability</t>
        </is>
      </c>
      <c r="F59" t="inlineStr">
        <is>
          <t>article</t>
        </is>
      </c>
      <c r="G59" t="inlineStr">
        <is>
          <t>10.1080/17549175.2023.2284221</t>
        </is>
      </c>
      <c r="H59" t="inlineStr">
        <is>
          <t>W4389094097</t>
        </is>
      </c>
      <c r="I59" t="inlineStr">
        <is>
          <t>https://doi.org/10.1080/17549175.2023.2284221</t>
        </is>
      </c>
      <c r="J59" t="inlineStr"/>
      <c r="K59" t="n">
        <v>11</v>
      </c>
      <c r="L59" t="inlineStr">
        <is>
          <t>A</t>
        </is>
      </c>
      <c r="M59" t="inlineStr">
        <is>
          <t>A9</t>
        </is>
      </c>
      <c r="N59" t="inlineStr"/>
      <c r="O59" t="inlineStr">
        <is>
          <t>Germany; Hamburg</t>
        </is>
      </c>
      <c r="P59" t="inlineStr">
        <is>
          <t>Global North</t>
        </is>
      </c>
      <c r="Q59" t="inlineStr"/>
      <c r="R59" t="inlineStr"/>
      <c r="S59" t="inlineStr"/>
      <c r="T59" t="inlineStr">
        <is>
          <t>qualitative</t>
        </is>
      </c>
      <c r="U59" t="inlineStr"/>
      <c r="V59" t="inlineStr">
        <is>
          <t>Y</t>
        </is>
      </c>
      <c r="W59" t="inlineStr">
        <is>
          <t>auto: This paper aims to examine the publicness of privately owned public space/s (POPS).</t>
        </is>
      </c>
      <c r="X59" t="inlineStr">
        <is>
          <t>auto: POPS are a popular mechanism to provide public spaces, however little is known about their quality. | The lack of private management, use of rights-of-way, inclusion of amenities, the role of public agencies, and transparency regarding ownership affect the publicness of these POPS.</t>
        </is>
      </c>
      <c r="Y59" t="inlineStr"/>
      <c r="Z59" t="inlineStr">
        <is>
          <t>high</t>
        </is>
      </c>
      <c r="AA59" t="inlineStr">
        <is>
          <t>A9:recent</t>
        </is>
      </c>
      <c r="AB59" t="inlineStr"/>
      <c r="AC59" t="n">
        <v>6.7564</v>
      </c>
    </row>
    <row r="60">
      <c r="A60" t="inlineStr">
        <is>
          <t>LM00059</t>
        </is>
      </c>
      <c r="B60" t="inlineStr">
        <is>
          <t>The Politics of Illegality: Mumbai Hawkers, Public Space and the Everyday Life of the Law</t>
        </is>
      </c>
      <c r="C60" t="n">
        <v>2012</v>
      </c>
      <c r="D60" t="inlineStr">
        <is>
          <t>Luciana Fukimoto Itikawa</t>
        </is>
      </c>
      <c r="E60" t="inlineStr">
        <is>
          <t>Routledge eBooks</t>
        </is>
      </c>
      <c r="F60" t="inlineStr">
        <is>
          <t>book-chapter</t>
        </is>
      </c>
      <c r="G60" t="inlineStr">
        <is>
          <t>10.4324/9780203150542-11</t>
        </is>
      </c>
      <c r="H60" t="inlineStr">
        <is>
          <t>W2901390278</t>
        </is>
      </c>
      <c r="I60" t="inlineStr">
        <is>
          <t>https://doi.org/10.4324/9780203150542-11</t>
        </is>
      </c>
      <c r="J60" t="inlineStr"/>
      <c r="K60" t="n">
        <v>10</v>
      </c>
      <c r="L60" t="inlineStr">
        <is>
          <t>A</t>
        </is>
      </c>
      <c r="M60" t="inlineStr">
        <is>
          <t>A9</t>
        </is>
      </c>
      <c r="N60" t="inlineStr"/>
      <c r="O60" t="inlineStr">
        <is>
          <t>Mumbai</t>
        </is>
      </c>
      <c r="P60" t="inlineStr">
        <is>
          <t>South Asia</t>
        </is>
      </c>
      <c r="Q60" t="inlineStr">
        <is>
          <t>Y</t>
        </is>
      </c>
      <c r="R60" t="inlineStr"/>
      <c r="S60" t="inlineStr"/>
      <c r="T60" t="inlineStr">
        <is>
          <t>unclear</t>
        </is>
      </c>
      <c r="U60" t="inlineStr"/>
      <c r="V60" t="inlineStr"/>
      <c r="W60" t="inlineStr">
        <is>
          <t>auto: The controversial use of public spaces by street vendors hides sharp geometries that are far from chaotic.</t>
        </is>
      </c>
      <c r="X60" t="inlineStr"/>
      <c r="Y60" t="inlineStr"/>
      <c r="Z60" t="inlineStr">
        <is>
          <t>medium</t>
        </is>
      </c>
      <c r="AA60" t="inlineStr">
        <is>
          <t>A9:india</t>
        </is>
      </c>
      <c r="AB60" t="inlineStr"/>
      <c r="AC60" t="n">
        <v>5.889</v>
      </c>
    </row>
    <row r="61">
      <c r="A61" t="inlineStr">
        <is>
          <t>LM00060</t>
        </is>
      </c>
      <c r="B61" t="inlineStr">
        <is>
          <t>Simulating the “city of joy”: state choreography and the re-appropriation of public spaces in Kolkata</t>
        </is>
      </c>
      <c r="C61" t="n">
        <v>2022</v>
      </c>
      <c r="D61" t="inlineStr">
        <is>
          <t>Sukanya Chakrabarti</t>
        </is>
      </c>
      <c r="E61" t="inlineStr">
        <is>
          <t>Urban Geography</t>
        </is>
      </c>
      <c r="F61" t="inlineStr">
        <is>
          <t>article</t>
        </is>
      </c>
      <c r="G61" t="inlineStr">
        <is>
          <t>10.1080/02723638.2022.2044660</t>
        </is>
      </c>
      <c r="H61" t="inlineStr">
        <is>
          <t>W4224253765</t>
        </is>
      </c>
      <c r="I61" t="inlineStr">
        <is>
          <t>https://doi.org/10.1080/02723638.2022.2044660</t>
        </is>
      </c>
      <c r="J61" t="inlineStr">
        <is>
          <t>https://doi.org/10.1080/02723638.2022.2044660</t>
        </is>
      </c>
      <c r="K61" t="n">
        <v>8</v>
      </c>
      <c r="L61" t="inlineStr">
        <is>
          <t>A</t>
        </is>
      </c>
      <c r="M61" t="inlineStr">
        <is>
          <t>A9</t>
        </is>
      </c>
      <c r="N61" t="inlineStr"/>
      <c r="O61" t="inlineStr">
        <is>
          <t>Kolkata</t>
        </is>
      </c>
      <c r="P61" t="inlineStr">
        <is>
          <t>South Asia</t>
        </is>
      </c>
      <c r="Q61" t="inlineStr">
        <is>
          <t>Y</t>
        </is>
      </c>
      <c r="R61" t="inlineStr"/>
      <c r="S61" t="inlineStr"/>
      <c r="T61" t="inlineStr">
        <is>
          <t>computational</t>
        </is>
      </c>
      <c r="U61" t="inlineStr"/>
      <c r="V61" t="inlineStr">
        <is>
          <t>Y</t>
        </is>
      </c>
      <c r="W61" t="inlineStr">
        <is>
          <t>auto: While the nature of public spaces and performances of the public gathering is evolving amidst a pandemic, this paper, probing primarily into the state-sponsored strategic public performances in COVID-affected Kolkata, argues that the simulation and performance of state-envisioned “joy” by a postc…</t>
        </is>
      </c>
      <c r="X61" t="inlineStr"/>
      <c r="Y61" t="inlineStr"/>
      <c r="Z61" t="inlineStr">
        <is>
          <t>high</t>
        </is>
      </c>
      <c r="AA61" t="inlineStr">
        <is>
          <t>A9:india</t>
        </is>
      </c>
      <c r="AB61" t="inlineStr"/>
      <c r="AC61" t="n">
        <v>3.4655</v>
      </c>
    </row>
    <row r="62">
      <c r="A62" t="inlineStr">
        <is>
          <t>LM00061</t>
        </is>
      </c>
      <c r="B62" t="inlineStr">
        <is>
          <t>Dhaka and the contestation over the public space</t>
        </is>
      </c>
      <c r="C62" t="n">
        <v>2009</v>
      </c>
      <c r="D62" t="inlineStr">
        <is>
          <t>Habibul Haque Khondker</t>
        </is>
      </c>
      <c r="E62" t="inlineStr">
        <is>
          <t>City</t>
        </is>
      </c>
      <c r="F62" t="inlineStr">
        <is>
          <t>article</t>
        </is>
      </c>
      <c r="G62" t="inlineStr">
        <is>
          <t>10.1080/13604810902726343</t>
        </is>
      </c>
      <c r="H62" t="inlineStr">
        <is>
          <t>W2049763581</t>
        </is>
      </c>
      <c r="I62" t="inlineStr">
        <is>
          <t>https://doi.org/10.1080/13604810902726343</t>
        </is>
      </c>
      <c r="J62" t="inlineStr"/>
      <c r="K62" t="n">
        <v>7</v>
      </c>
      <c r="L62" t="inlineStr">
        <is>
          <t>A</t>
        </is>
      </c>
      <c r="M62" t="inlineStr">
        <is>
          <t>A9</t>
        </is>
      </c>
      <c r="N62" t="inlineStr"/>
      <c r="O62" t="inlineStr">
        <is>
          <t>Bangladesh; Dhaka</t>
        </is>
      </c>
      <c r="P62" t="inlineStr">
        <is>
          <t>South Asia</t>
        </is>
      </c>
      <c r="Q62" t="inlineStr"/>
      <c r="R62" t="inlineStr"/>
      <c r="S62" t="inlineStr"/>
      <c r="T62" t="inlineStr">
        <is>
          <t>unclear</t>
        </is>
      </c>
      <c r="U62" t="inlineStr"/>
      <c r="V62" t="inlineStr"/>
      <c r="W62" t="inlineStr">
        <is>
          <t>auto: This paper examines the growing contestations over public space of Dhaka, the capital city of Bangladesh, between Islamic and secular groups since the country’s independence in 1971.</t>
        </is>
      </c>
      <c r="X62" t="inlineStr"/>
      <c r="Y62" t="inlineStr"/>
      <c r="Z62" t="inlineStr">
        <is>
          <t>high</t>
        </is>
      </c>
      <c r="AA62" t="inlineStr">
        <is>
          <t>A9:india</t>
        </is>
      </c>
      <c r="AB62" t="inlineStr"/>
      <c r="AC62" t="n">
        <v>4.2358</v>
      </c>
    </row>
    <row r="63">
      <c r="A63" t="inlineStr">
        <is>
          <t>LM00062</t>
        </is>
      </c>
      <c r="B63" t="inlineStr">
        <is>
          <t>Regulating Access and Mobility of Single Women in a “World Class”-city: Gender and Inequality in Delhi, India</t>
        </is>
      </c>
      <c r="C63" t="n">
        <v>2016</v>
      </c>
      <c r="D63" t="inlineStr">
        <is>
          <t>Christiane Brosius</t>
        </is>
      </c>
      <c r="E63" t="inlineStr">
        <is>
          <t>Palgrave Macmillan US eBooks</t>
        </is>
      </c>
      <c r="F63" t="inlineStr">
        <is>
          <t>book-chapter</t>
        </is>
      </c>
      <c r="G63" t="inlineStr">
        <is>
          <t>10.1057/978-1-349-95115-4_10</t>
        </is>
      </c>
      <c r="H63" t="inlineStr">
        <is>
          <t>W2567448509</t>
        </is>
      </c>
      <c r="I63" t="inlineStr">
        <is>
          <t>https://doi.org/10.1057/978-1-349-95115-4_10</t>
        </is>
      </c>
      <c r="J63" t="inlineStr"/>
      <c r="K63" t="n">
        <v>7</v>
      </c>
      <c r="L63" t="inlineStr">
        <is>
          <t>A</t>
        </is>
      </c>
      <c r="M63" t="inlineStr">
        <is>
          <t>A9</t>
        </is>
      </c>
      <c r="N63" t="inlineStr"/>
      <c r="O63" t="inlineStr">
        <is>
          <t>Delhi; India</t>
        </is>
      </c>
      <c r="P63" t="inlineStr">
        <is>
          <t>South Asia</t>
        </is>
      </c>
      <c r="Q63" t="inlineStr">
        <is>
          <t>Y</t>
        </is>
      </c>
      <c r="R63" t="inlineStr">
        <is>
          <t>Y</t>
        </is>
      </c>
      <c r="S63" t="inlineStr"/>
      <c r="T63" t="inlineStr">
        <is>
          <t>conceptual</t>
        </is>
      </c>
      <c r="U63" t="inlineStr"/>
      <c r="V63" t="inlineStr"/>
      <c r="W63" t="inlineStr">
        <is>
          <t>auto: This chapter reflects on the ways in which the concept of the “world class” city, here Delhi, India's national capital, mirrors and generates gendered spaces and discourses (e.g., on independence and safety).</t>
        </is>
      </c>
      <c r="X63" t="inlineStr"/>
      <c r="Y63" t="inlineStr"/>
      <c r="Z63" t="inlineStr">
        <is>
          <t>medium</t>
        </is>
      </c>
      <c r="AA63" t="inlineStr">
        <is>
          <t>A9:india</t>
        </is>
      </c>
      <c r="AB63" t="inlineStr"/>
      <c r="AC63" t="n">
        <v>5.1402</v>
      </c>
    </row>
    <row r="64">
      <c r="A64" t="inlineStr">
        <is>
          <t>LM00063</t>
        </is>
      </c>
      <c r="B64" t="inlineStr">
        <is>
          <t>Exploring the Impact of the Publicness of Public Space in Hong Kong: A Structural Equation Modelling Approach</t>
        </is>
      </c>
      <c r="C64" t="n">
        <v>2025</v>
      </c>
      <c r="D64" t="inlineStr">
        <is>
          <t>H. Zeng; Louie Sieh; Dong Zhang; Hao Huang; Yu-Zun Zhang; Jin Yeu Tsou</t>
        </is>
      </c>
      <c r="E64" t="inlineStr">
        <is>
          <t>Land</t>
        </is>
      </c>
      <c r="F64" t="inlineStr">
        <is>
          <t>article</t>
        </is>
      </c>
      <c r="G64" t="inlineStr">
        <is>
          <t>10.3390/land14010091</t>
        </is>
      </c>
      <c r="H64" t="inlineStr">
        <is>
          <t>W4406099941</t>
        </is>
      </c>
      <c r="I64" t="inlineStr">
        <is>
          <t>https://doi.org/10.3390/land14010091</t>
        </is>
      </c>
      <c r="J64" t="inlineStr">
        <is>
          <t>https://www.mdpi.com/2073-445X/14/1/91/pdf?version=1736136756</t>
        </is>
      </c>
      <c r="K64" t="n">
        <v>7</v>
      </c>
      <c r="L64" t="inlineStr">
        <is>
          <t>A</t>
        </is>
      </c>
      <c r="M64" t="inlineStr">
        <is>
          <t>A9</t>
        </is>
      </c>
      <c r="N64" t="inlineStr"/>
      <c r="O64" t="inlineStr">
        <is>
          <t>Hong Kong</t>
        </is>
      </c>
      <c r="P64" t="inlineStr">
        <is>
          <t>China &amp; East Asia</t>
        </is>
      </c>
      <c r="Q64" t="inlineStr"/>
      <c r="R64" t="inlineStr"/>
      <c r="S64" t="inlineStr"/>
      <c r="T64" t="inlineStr">
        <is>
          <t>review</t>
        </is>
      </c>
      <c r="U64" t="inlineStr"/>
      <c r="V64" t="inlineStr">
        <is>
          <t>Y</t>
        </is>
      </c>
      <c r="W64" t="inlineStr">
        <is>
          <t>auto: This study aims to identify the impact of the publicness of public space and develop an assessment model.</t>
        </is>
      </c>
      <c r="X64" t="inlineStr"/>
      <c r="Y64" t="inlineStr"/>
      <c r="Z64" t="inlineStr">
        <is>
          <t>high</t>
        </is>
      </c>
      <c r="AA64" t="inlineStr">
        <is>
          <t>A9:recent</t>
        </is>
      </c>
      <c r="AB64" t="inlineStr"/>
      <c r="AC64" t="n">
        <v>14.8182</v>
      </c>
    </row>
    <row r="65">
      <c r="A65" t="inlineStr">
        <is>
          <t>LM00064</t>
        </is>
      </c>
      <c r="B65" t="inlineStr">
        <is>
          <t>Evaluating the Publicness Dimension of Public Space with Bibliometric Analysis</t>
        </is>
      </c>
      <c r="C65" t="n">
        <v>2023</v>
      </c>
      <c r="D65" t="inlineStr">
        <is>
          <t>Elif Kutay Karaçor; Hüseyin Ögçe</t>
        </is>
      </c>
      <c r="E65" t="inlineStr">
        <is>
          <t>Future Cities and Environment</t>
        </is>
      </c>
      <c r="F65" t="inlineStr">
        <is>
          <t>article</t>
        </is>
      </c>
      <c r="G65" t="inlineStr">
        <is>
          <t>10.5334/fce.192</t>
        </is>
      </c>
      <c r="H65" t="inlineStr">
        <is>
          <t>W4387718849</t>
        </is>
      </c>
      <c r="I65" t="inlineStr">
        <is>
          <t>https://doi.org/10.5334/fce.192</t>
        </is>
      </c>
      <c r="J65" t="inlineStr">
        <is>
          <t>https://storage.googleapis.com/jnl-up-j-fce-files/journals/1/articles/192/652e6f7a682a8.pdf</t>
        </is>
      </c>
      <c r="K65" t="n">
        <v>6</v>
      </c>
      <c r="L65" t="inlineStr">
        <is>
          <t>A</t>
        </is>
      </c>
      <c r="M65" t="inlineStr">
        <is>
          <t>A9</t>
        </is>
      </c>
      <c r="N65" t="inlineStr"/>
      <c r="O65" t="inlineStr"/>
      <c r="P65" t="inlineStr">
        <is>
          <t>Not place-specific</t>
        </is>
      </c>
      <c r="Q65" t="inlineStr"/>
      <c r="R65" t="inlineStr"/>
      <c r="S65" t="inlineStr"/>
      <c r="T65" t="inlineStr">
        <is>
          <t>review</t>
        </is>
      </c>
      <c r="U65" t="inlineStr"/>
      <c r="V65" t="inlineStr">
        <is>
          <t>Y</t>
        </is>
      </c>
      <c r="W65" t="inlineStr">
        <is>
          <t>auto: In this study, the “all open access” SCOPUS Database and VOSviewer were used to conduct a bibliometric analysis of the publicness of public space documents.</t>
        </is>
      </c>
      <c r="X65" t="inlineStr"/>
      <c r="Y65" t="inlineStr"/>
      <c r="Z65" t="inlineStr">
        <is>
          <t>high</t>
        </is>
      </c>
      <c r="AA65" t="inlineStr">
        <is>
          <t>A9:recent</t>
        </is>
      </c>
      <c r="AB65" t="inlineStr"/>
      <c r="AC65" t="n">
        <v>3.6463</v>
      </c>
    </row>
    <row r="66">
      <c r="A66" t="inlineStr">
        <is>
          <t>LM00065</t>
        </is>
      </c>
      <c r="B66" t="inlineStr">
        <is>
          <t>On Design and Politics of Co-producing Public Space: The Long Marches and the Reincarnation of the ‘Forecourt’ of the Pakistani Nation</t>
        </is>
      </c>
      <c r="C66" t="n">
        <v>2013</v>
      </c>
      <c r="D66" t="inlineStr">
        <is>
          <t>Ahmed Zaib Khan</t>
        </is>
      </c>
      <c r="E66" t="inlineStr">
        <is>
          <t>International Journal of Islamic Architecture</t>
        </is>
      </c>
      <c r="F66" t="inlineStr">
        <is>
          <t>article</t>
        </is>
      </c>
      <c r="G66" t="inlineStr">
        <is>
          <t>10.1386/ijia.2.1.125_1</t>
        </is>
      </c>
      <c r="H66" t="inlineStr">
        <is>
          <t>W1238650037</t>
        </is>
      </c>
      <c r="I66" t="inlineStr">
        <is>
          <t>https://doi.org/10.1386/ijia.2.1.125_1</t>
        </is>
      </c>
      <c r="J66" t="inlineStr">
        <is>
          <t>http://hdl.handle.net/2013/ULB-DIPOT:oai:dipot.ulb.ac.be:2013/154812</t>
        </is>
      </c>
      <c r="K66" t="n">
        <v>5</v>
      </c>
      <c r="L66" t="inlineStr">
        <is>
          <t>A</t>
        </is>
      </c>
      <c r="M66" t="inlineStr">
        <is>
          <t>A9</t>
        </is>
      </c>
      <c r="N66" t="inlineStr"/>
      <c r="O66" t="inlineStr">
        <is>
          <t>Islamabad; Karachi; Lahore; Pakistan</t>
        </is>
      </c>
      <c r="P66" t="inlineStr">
        <is>
          <t>South Asia</t>
        </is>
      </c>
      <c r="Q66" t="inlineStr"/>
      <c r="R66" t="inlineStr"/>
      <c r="S66" t="inlineStr"/>
      <c r="T66" t="inlineStr">
        <is>
          <t>conceptual</t>
        </is>
      </c>
      <c r="U66" t="inlineStr"/>
      <c r="V66" t="inlineStr"/>
      <c r="W66" t="inlineStr">
        <is>
          <t>auto: With the intention of broadening the concept of public space, this article investigates key socio-political processes behind temporal events like the ‘long march’ or Occupy movements, and how spatial forms of streets and public spaces interact in producing the image, value and meaning of public s…</t>
        </is>
      </c>
      <c r="X66" t="inlineStr"/>
      <c r="Y66" t="inlineStr"/>
      <c r="Z66" t="inlineStr">
        <is>
          <t>high</t>
        </is>
      </c>
      <c r="AA66" t="inlineStr">
        <is>
          <t>A9:india</t>
        </is>
      </c>
      <c r="AB66" t="inlineStr"/>
      <c r="AC66" t="n">
        <v>4.2707</v>
      </c>
    </row>
    <row r="67">
      <c r="A67" t="inlineStr">
        <is>
          <t>LM00066</t>
        </is>
      </c>
      <c r="B67" t="inlineStr">
        <is>
          <t>Use or Misuse of Urban Streets? Exploration of Everyday Urbanism in Traditional City Centres</t>
        </is>
      </c>
      <c r="C67" t="n">
        <v>2023</v>
      </c>
      <c r="D67" t="inlineStr">
        <is>
          <t>Temitope Muyiwa Adebara; Oyinloluwa Beatrice Adebara; Amos Oluwole Taiwo</t>
        </is>
      </c>
      <c r="E67" t="inlineStr">
        <is>
          <t>Malaysian journal of real estate/International journal of real estate studies</t>
        </is>
      </c>
      <c r="F67" t="inlineStr">
        <is>
          <t>article</t>
        </is>
      </c>
      <c r="G67" t="inlineStr">
        <is>
          <t>10.11113/intrest.v17n1.235</t>
        </is>
      </c>
      <c r="H67" t="inlineStr">
        <is>
          <t>W4382813902</t>
        </is>
      </c>
      <c r="I67" t="inlineStr">
        <is>
          <t>https://doi.org/10.11113/intrest.v17n1.235</t>
        </is>
      </c>
      <c r="J67" t="inlineStr">
        <is>
          <t>https://intrest.utm.my/index.php/intrest/article/download/235/134</t>
        </is>
      </c>
      <c r="K67" t="n">
        <v>5</v>
      </c>
      <c r="L67" t="inlineStr">
        <is>
          <t>A</t>
        </is>
      </c>
      <c r="M67" t="inlineStr">
        <is>
          <t>A9</t>
        </is>
      </c>
      <c r="N67" t="inlineStr"/>
      <c r="O67" t="inlineStr">
        <is>
          <t>Nigeria</t>
        </is>
      </c>
      <c r="P67" t="inlineStr">
        <is>
          <t>Africa</t>
        </is>
      </c>
      <c r="Q67" t="inlineStr"/>
      <c r="R67" t="inlineStr"/>
      <c r="S67" t="inlineStr"/>
      <c r="T67" t="inlineStr">
        <is>
          <t>mixed</t>
        </is>
      </c>
      <c r="U67" t="inlineStr"/>
      <c r="V67" t="inlineStr">
        <is>
          <t>Y</t>
        </is>
      </c>
      <c r="W67" t="inlineStr">
        <is>
          <t>auto: In this regard, using data collected through questionnaire surveys, observations, and interviews, this study explores the factors that facilitate everyday urbanism and encourage using the streets as public spaces in traditional city centres of Nigeria.</t>
        </is>
      </c>
      <c r="X67" t="inlineStr"/>
      <c r="Y67" t="inlineStr"/>
      <c r="Z67" t="inlineStr">
        <is>
          <t>high</t>
        </is>
      </c>
      <c r="AA67" t="inlineStr">
        <is>
          <t>A9:recent</t>
        </is>
      </c>
      <c r="AB67" t="inlineStr"/>
      <c r="AC67" t="n">
        <v>3.0386</v>
      </c>
    </row>
    <row r="68">
      <c r="A68" t="inlineStr">
        <is>
          <t>LM00067</t>
        </is>
      </c>
      <c r="B68" t="inlineStr">
        <is>
          <t>Public Space and Life in an Indian City: The Politics of Space in Bangalore.</t>
        </is>
      </c>
      <c r="C68" t="n">
        <v>2014</v>
      </c>
      <c r="D68" t="inlineStr">
        <is>
          <t>Salila Vanka</t>
        </is>
      </c>
      <c r="E68" t="inlineStr">
        <is>
          <t>Deep Blue (University of Michigan)</t>
        </is>
      </c>
      <c r="F68" t="inlineStr">
        <is>
          <t>dissertation</t>
        </is>
      </c>
      <c r="G68" t="inlineStr"/>
      <c r="H68" t="inlineStr">
        <is>
          <t>W4299993025</t>
        </is>
      </c>
      <c r="I68" t="inlineStr">
        <is>
          <t>https://hdl.handle.net/2027.42/108825</t>
        </is>
      </c>
      <c r="J68" t="inlineStr">
        <is>
          <t>https://hdl.handle.net/2027.42/108825</t>
        </is>
      </c>
      <c r="K68" t="n">
        <v>5</v>
      </c>
      <c r="L68" t="inlineStr">
        <is>
          <t>A</t>
        </is>
      </c>
      <c r="M68" t="inlineStr">
        <is>
          <t>A9</t>
        </is>
      </c>
      <c r="N68" t="inlineStr"/>
      <c r="O68" t="inlineStr">
        <is>
          <t>Bangalore; India</t>
        </is>
      </c>
      <c r="P68" t="inlineStr">
        <is>
          <t>South Asia</t>
        </is>
      </c>
      <c r="Q68" t="inlineStr">
        <is>
          <t>Y</t>
        </is>
      </c>
      <c r="R68" t="inlineStr"/>
      <c r="S68" t="inlineStr"/>
      <c r="T68" t="inlineStr">
        <is>
          <t>conceptual</t>
        </is>
      </c>
      <c r="U68" t="inlineStr"/>
      <c r="V68" t="inlineStr"/>
      <c r="W68" t="inlineStr">
        <is>
          <t>auto: In the context of the 74th Constitutional Amendment Act of 1992 and other reforms that have strengthened the role of local governing bodies and citizens in urban planning and governance, this research examines contestations between state and non-state actors over Bangalore’s public streets, sidew…</t>
        </is>
      </c>
      <c r="X68" t="inlineStr"/>
      <c r="Y68" t="inlineStr"/>
      <c r="Z68" t="inlineStr">
        <is>
          <t>high</t>
        </is>
      </c>
      <c r="AA68" t="inlineStr">
        <is>
          <t>A9:india</t>
        </is>
      </c>
      <c r="AB68" t="inlineStr"/>
    </row>
    <row r="69">
      <c r="A69" t="inlineStr">
        <is>
          <t>LM00068</t>
        </is>
      </c>
      <c r="B69" t="inlineStr">
        <is>
          <t>Global Flows or Rural–Urban Connections? Temporality, Public Spaces and Heterotopias in Globalising Mumbai</t>
        </is>
      </c>
      <c r="C69" t="n">
        <v>2017</v>
      </c>
      <c r="D69" t="inlineStr">
        <is>
          <t>Devanathan Parthasarathy</t>
        </is>
      </c>
      <c r="E69" t="inlineStr">
        <is>
          <t>Exploring urban change in South Asia</t>
        </is>
      </c>
      <c r="F69" t="inlineStr">
        <is>
          <t>book-chapter</t>
        </is>
      </c>
      <c r="G69" t="inlineStr">
        <is>
          <t>10.1007/978-81-322-3741-9_3</t>
        </is>
      </c>
      <c r="H69" t="inlineStr">
        <is>
          <t>W2182975348</t>
        </is>
      </c>
      <c r="I69" t="inlineStr">
        <is>
          <t>https://doi.org/10.1007/978-81-322-3741-9_3</t>
        </is>
      </c>
      <c r="J69" t="inlineStr"/>
      <c r="K69" t="n">
        <v>4</v>
      </c>
      <c r="L69" t="inlineStr">
        <is>
          <t>A</t>
        </is>
      </c>
      <c r="M69" t="inlineStr">
        <is>
          <t>A9</t>
        </is>
      </c>
      <c r="N69" t="inlineStr"/>
      <c r="O69" t="inlineStr">
        <is>
          <t>Mumbai</t>
        </is>
      </c>
      <c r="P69" t="inlineStr">
        <is>
          <t>South Asia</t>
        </is>
      </c>
      <c r="Q69" t="inlineStr">
        <is>
          <t>Y</t>
        </is>
      </c>
      <c r="R69" t="inlineStr"/>
      <c r="S69" t="inlineStr"/>
      <c r="T69" t="inlineStr">
        <is>
          <t>unclear</t>
        </is>
      </c>
      <c r="U69" t="inlineStr"/>
      <c r="V69" t="inlineStr"/>
      <c r="W69" t="inlineStr"/>
      <c r="X69" t="inlineStr"/>
      <c r="Y69" t="inlineStr"/>
      <c r="Z69" t="inlineStr">
        <is>
          <t>low</t>
        </is>
      </c>
      <c r="AA69" t="inlineStr">
        <is>
          <t>A9:india</t>
        </is>
      </c>
      <c r="AB69" t="inlineStr"/>
      <c r="AC69" t="n">
        <v>1.9641</v>
      </c>
    </row>
    <row r="70">
      <c r="A70" t="inlineStr">
        <is>
          <t>LM00069</t>
        </is>
      </c>
      <c r="B70" t="inlineStr">
        <is>
          <t>Public space and citizenship in Mumbai</t>
        </is>
      </c>
      <c r="C70" t="n">
        <v>2019</v>
      </c>
      <c r="D70" t="inlineStr">
        <is>
          <t>Tanu Sankalia</t>
        </is>
      </c>
      <c r="E70" t="inlineStr">
        <is>
          <t>City</t>
        </is>
      </c>
      <c r="F70" t="inlineStr">
        <is>
          <t>article</t>
        </is>
      </c>
      <c r="G70" t="inlineStr">
        <is>
          <t>10.1080/13604813.2019.1647707</t>
        </is>
      </c>
      <c r="H70" t="inlineStr">
        <is>
          <t>W2964393930</t>
        </is>
      </c>
      <c r="I70" t="inlineStr">
        <is>
          <t>https://doi.org/10.1080/13604813.2019.1647707</t>
        </is>
      </c>
      <c r="J70" t="inlineStr"/>
      <c r="K70" t="n">
        <v>4</v>
      </c>
      <c r="L70" t="inlineStr">
        <is>
          <t>A</t>
        </is>
      </c>
      <c r="M70" t="inlineStr">
        <is>
          <t>A9</t>
        </is>
      </c>
      <c r="N70" t="inlineStr"/>
      <c r="O70" t="inlineStr">
        <is>
          <t>India; Mumbai</t>
        </is>
      </c>
      <c r="P70" t="inlineStr">
        <is>
          <t>South Asia</t>
        </is>
      </c>
      <c r="Q70" t="inlineStr">
        <is>
          <t>Y</t>
        </is>
      </c>
      <c r="R70" t="inlineStr"/>
      <c r="S70" t="inlineStr"/>
      <c r="T70" t="inlineStr">
        <is>
          <t>qualitative</t>
        </is>
      </c>
      <c r="U70" t="inlineStr"/>
      <c r="V70" t="inlineStr"/>
      <c r="W70" t="inlineStr">
        <is>
          <t>auto: This article examines the relationship between citizenship and city building in Mumbai by presenting two case studies of citizen action: the struggle over Land’s End and the making of the Bandra Bandstand promenade.</t>
        </is>
      </c>
      <c r="X70" t="inlineStr"/>
      <c r="Y70" t="inlineStr"/>
      <c r="Z70" t="inlineStr">
        <is>
          <t>high</t>
        </is>
      </c>
      <c r="AA70" t="inlineStr">
        <is>
          <t>A9:india</t>
        </is>
      </c>
      <c r="AB70" t="inlineStr"/>
      <c r="AC70" t="n">
        <v>0.6924</v>
      </c>
    </row>
    <row r="71">
      <c r="A71" t="inlineStr">
        <is>
          <t>LM00070</t>
        </is>
      </c>
      <c r="B71" t="inlineStr">
        <is>
          <t>Evolution of city squares and transformation of publicness</t>
        </is>
      </c>
      <c r="C71" t="n">
        <v>2022</v>
      </c>
      <c r="D71" t="inlineStr">
        <is>
          <t>Meriç Demir Kahraman; Handan Türkoğlu</t>
        </is>
      </c>
      <c r="E71" t="inlineStr">
        <is>
          <t>A/Z ITU journal of Faculty of Architecture</t>
        </is>
      </c>
      <c r="F71" t="inlineStr">
        <is>
          <t>article</t>
        </is>
      </c>
      <c r="G71" t="inlineStr">
        <is>
          <t>10.5505/itujfa.2022.15483</t>
        </is>
      </c>
      <c r="H71" t="inlineStr">
        <is>
          <t>W4225625903</t>
        </is>
      </c>
      <c r="I71" t="inlineStr">
        <is>
          <t>https://doi.org/10.5505/itujfa.2022.15483</t>
        </is>
      </c>
      <c r="J71" t="inlineStr">
        <is>
          <t>https://doi.org/10.5505/itujfa.2022.15483</t>
        </is>
      </c>
      <c r="K71" t="n">
        <v>4</v>
      </c>
      <c r="L71" t="inlineStr">
        <is>
          <t>A</t>
        </is>
      </c>
      <c r="M71" t="inlineStr">
        <is>
          <t>A9</t>
        </is>
      </c>
      <c r="N71" t="inlineStr"/>
      <c r="O71" t="inlineStr"/>
      <c r="P71" t="inlineStr">
        <is>
          <t>Not place-specific</t>
        </is>
      </c>
      <c r="Q71" t="inlineStr"/>
      <c r="R71" t="inlineStr"/>
      <c r="S71" t="inlineStr"/>
      <c r="T71" t="inlineStr">
        <is>
          <t>conceptual</t>
        </is>
      </c>
      <c r="U71" t="inlineStr"/>
      <c r="V71" t="inlineStr">
        <is>
          <t>Y</t>
        </is>
      </c>
      <c r="W71" t="inlineStr">
        <is>
          <t>auto: In the procedural approaches, “public” is described as “any place used for collective action and debate,” whereas “public” is considered as “a specific kind of place” by the topographical approaches that are repeatedly concerned with the accessibility of “public spaces.” This study, which might a…</t>
        </is>
      </c>
      <c r="X71" t="inlineStr"/>
      <c r="Y71" t="inlineStr"/>
      <c r="Z71" t="inlineStr">
        <is>
          <t>high</t>
        </is>
      </c>
      <c r="AA71" t="inlineStr">
        <is>
          <t>A9:recent</t>
        </is>
      </c>
      <c r="AB71" t="inlineStr"/>
      <c r="AC71" t="n">
        <v>1.9694</v>
      </c>
    </row>
    <row r="72">
      <c r="A72" t="inlineStr">
        <is>
          <t>LM00071</t>
        </is>
      </c>
      <c r="B72" t="inlineStr">
        <is>
          <t>Citizen Oversight of Public Spaces: Evaluating Public Participation in Managing Privately Owned Public Spaces</t>
        </is>
      </c>
      <c r="C72" t="n">
        <v>2024</v>
      </c>
      <c r="D72" t="inlineStr">
        <is>
          <t>Sungju Jung; Jae Seung Lee; Saehoon Kim</t>
        </is>
      </c>
      <c r="E72" t="inlineStr">
        <is>
          <t>Urban Affairs Review</t>
        </is>
      </c>
      <c r="F72" t="inlineStr">
        <is>
          <t>article</t>
        </is>
      </c>
      <c r="G72" t="inlineStr">
        <is>
          <t>10.1177/10780874241300469</t>
        </is>
      </c>
      <c r="H72" t="inlineStr">
        <is>
          <t>W4405123552</t>
        </is>
      </c>
      <c r="I72" t="inlineStr">
        <is>
          <t>https://doi.org/10.1177/10780874241300469</t>
        </is>
      </c>
      <c r="J72" t="inlineStr"/>
      <c r="K72" t="n">
        <v>4</v>
      </c>
      <c r="L72" t="inlineStr">
        <is>
          <t>A</t>
        </is>
      </c>
      <c r="M72" t="inlineStr">
        <is>
          <t>A9</t>
        </is>
      </c>
      <c r="N72" t="inlineStr"/>
      <c r="O72" t="inlineStr">
        <is>
          <t>Seoul</t>
        </is>
      </c>
      <c r="P72" t="inlineStr">
        <is>
          <t>China &amp; East Asia</t>
        </is>
      </c>
      <c r="Q72" t="inlineStr"/>
      <c r="R72" t="inlineStr"/>
      <c r="S72" t="inlineStr"/>
      <c r="T72" t="inlineStr">
        <is>
          <t>qualitative</t>
        </is>
      </c>
      <c r="U72" t="inlineStr"/>
      <c r="V72" t="inlineStr">
        <is>
          <t>Y</t>
        </is>
      </c>
      <c r="W72" t="inlineStr">
        <is>
          <t>auto: In this study, we explored whether citizen participation can effectively enhance the management of POPS and reinforce the general public’s determination to reform public spaces.</t>
        </is>
      </c>
      <c r="X72" t="inlineStr"/>
      <c r="Y72" t="inlineStr"/>
      <c r="Z72" t="inlineStr">
        <is>
          <t>high</t>
        </is>
      </c>
      <c r="AA72" t="inlineStr">
        <is>
          <t>A9:recent</t>
        </is>
      </c>
      <c r="AB72" t="inlineStr"/>
      <c r="AC72" t="n">
        <v>4.3591</v>
      </c>
    </row>
    <row r="73">
      <c r="A73" t="inlineStr">
        <is>
          <t>LM00072</t>
        </is>
      </c>
      <c r="B73" t="inlineStr">
        <is>
          <t>Urban park commercialization and the transformation of public space in Cairo</t>
        </is>
      </c>
      <c r="C73" t="n">
        <v>2025</v>
      </c>
      <c r="D73" t="inlineStr">
        <is>
          <t>Abdelbaseer A. Mohamed</t>
        </is>
      </c>
      <c r="E73" t="inlineStr">
        <is>
          <t>Annals of Leisure Research</t>
        </is>
      </c>
      <c r="F73" t="inlineStr">
        <is>
          <t>article</t>
        </is>
      </c>
      <c r="G73" t="inlineStr">
        <is>
          <t>10.1080/11745398.2025.2560840</t>
        </is>
      </c>
      <c r="H73" t="inlineStr">
        <is>
          <t>W4414457694</t>
        </is>
      </c>
      <c r="I73" t="inlineStr">
        <is>
          <t>https://doi.org/10.1080/11745398.2025.2560840</t>
        </is>
      </c>
      <c r="J73" t="inlineStr"/>
      <c r="K73" t="n">
        <v>4</v>
      </c>
      <c r="L73" t="inlineStr">
        <is>
          <t>A</t>
        </is>
      </c>
      <c r="M73" t="inlineStr">
        <is>
          <t>A9</t>
        </is>
      </c>
      <c r="N73" t="inlineStr"/>
      <c r="O73" t="inlineStr">
        <is>
          <t>Cairo</t>
        </is>
      </c>
      <c r="P73" t="inlineStr">
        <is>
          <t>Africa</t>
        </is>
      </c>
      <c r="Q73" t="inlineStr"/>
      <c r="R73" t="inlineStr"/>
      <c r="S73" t="inlineStr"/>
      <c r="T73" t="inlineStr">
        <is>
          <t>qualitative</t>
        </is>
      </c>
      <c r="U73" t="inlineStr"/>
      <c r="V73" t="inlineStr">
        <is>
          <t>Y</t>
        </is>
      </c>
      <c r="W73" t="inlineStr">
        <is>
          <t>auto: In this research note, we examine the commercialization of urban parks in Cairo and its implications for access, equity, and the meaning of public space.</t>
        </is>
      </c>
      <c r="X73" t="inlineStr"/>
      <c r="Y73" t="inlineStr"/>
      <c r="Z73" t="inlineStr">
        <is>
          <t>high</t>
        </is>
      </c>
      <c r="AA73" t="inlineStr">
        <is>
          <t>A9:recent</t>
        </is>
      </c>
      <c r="AB73" t="inlineStr"/>
      <c r="AC73" t="n">
        <v>8.467499999999999</v>
      </c>
    </row>
    <row r="74">
      <c r="A74" t="inlineStr">
        <is>
          <t>LM00073</t>
        </is>
      </c>
      <c r="B74" t="inlineStr">
        <is>
          <t>Managing and navigating Manchester's Privately Owned Public Spaces: Understanding publicness</t>
        </is>
      </c>
      <c r="C74" t="n">
        <v>2025</v>
      </c>
      <c r="D74" t="inlineStr">
        <is>
          <t>Evgenia Kanellopoulou; Nikos Ntounis; Steve Millington</t>
        </is>
      </c>
      <c r="E74" t="inlineStr">
        <is>
          <t>Journal of Urban Management</t>
        </is>
      </c>
      <c r="F74" t="inlineStr">
        <is>
          <t>article</t>
        </is>
      </c>
      <c r="G74" t="inlineStr">
        <is>
          <t>10.1016/j.jum.2025.07.001</t>
        </is>
      </c>
      <c r="H74" t="inlineStr">
        <is>
          <t>W4412436323</t>
        </is>
      </c>
      <c r="I74" t="inlineStr">
        <is>
          <t>https://doi.org/10.1016/j.jum.2025.07.001</t>
        </is>
      </c>
      <c r="J74" t="inlineStr">
        <is>
          <t>https://doi.org/10.1016/j.jum.2025.07.001</t>
        </is>
      </c>
      <c r="K74" t="n">
        <v>3</v>
      </c>
      <c r="L74" t="inlineStr">
        <is>
          <t>A</t>
        </is>
      </c>
      <c r="M74" t="inlineStr">
        <is>
          <t>A9</t>
        </is>
      </c>
      <c r="N74" t="inlineStr"/>
      <c r="O74" t="inlineStr">
        <is>
          <t>Manchester; United Kingdom</t>
        </is>
      </c>
      <c r="P74" t="inlineStr">
        <is>
          <t>Global North</t>
        </is>
      </c>
      <c r="Q74" t="inlineStr"/>
      <c r="R74" t="inlineStr"/>
      <c r="S74" t="inlineStr"/>
      <c r="T74" t="inlineStr">
        <is>
          <t>conceptual</t>
        </is>
      </c>
      <c r="U74" t="inlineStr"/>
      <c r="V74" t="inlineStr">
        <is>
          <t>Y</t>
        </is>
      </c>
      <c r="W74" t="inlineStr">
        <is>
          <t>auto: This paper explores the processes of understanding publicness in the management of Privately Owned Public Spaces (POPS), in the context of a rapidly developing city in the UK (Manchester).</t>
        </is>
      </c>
      <c r="X74" t="inlineStr"/>
      <c r="Y74" t="inlineStr"/>
      <c r="Z74" t="inlineStr">
        <is>
          <t>high</t>
        </is>
      </c>
      <c r="AA74" t="inlineStr">
        <is>
          <t>A9:recent</t>
        </is>
      </c>
      <c r="AB74" t="inlineStr"/>
      <c r="AC74" t="n">
        <v>6.3506</v>
      </c>
    </row>
    <row r="75">
      <c r="A75" t="inlineStr">
        <is>
          <t>LM00074</t>
        </is>
      </c>
      <c r="B75" t="inlineStr">
        <is>
          <t>PUBLIC VS PRIVATE SECTOR OWNED URBAN PUBLIC SPACE PERFORMANCE IN TERMS OF USER PERCEPTION IN CITY OF COLOMBO</t>
        </is>
      </c>
      <c r="C75" t="n">
        <v>2021</v>
      </c>
      <c r="D75" t="inlineStr">
        <is>
          <t>A.M. Fayas; Mutu Tantrige Osada Vishvajith Peiris; K.G.P. Kalugalla</t>
        </is>
      </c>
      <c r="E75" t="inlineStr">
        <is>
          <t>International Research Conference of the Faculty of Architecture Research Unit (FARU)</t>
        </is>
      </c>
      <c r="F75" t="inlineStr">
        <is>
          <t>conference-paper</t>
        </is>
      </c>
      <c r="G75" t="inlineStr">
        <is>
          <t>10.31705/faru.2021.5</t>
        </is>
      </c>
      <c r="H75" t="inlineStr">
        <is>
          <t>W3215464889</t>
        </is>
      </c>
      <c r="I75" t="inlineStr">
        <is>
          <t>https://doi.org/10.31705/faru.2021.5</t>
        </is>
      </c>
      <c r="J75" t="inlineStr">
        <is>
          <t>http://dl.lib.uom.lk/bitstream/123/16809/1/5%20Public%20vs%20Private%20Sector%20Owned%20Urban%20Public%20Space.pdf</t>
        </is>
      </c>
      <c r="K75" t="n">
        <v>2</v>
      </c>
      <c r="L75" t="inlineStr">
        <is>
          <t>A</t>
        </is>
      </c>
      <c r="M75" t="inlineStr">
        <is>
          <t>A9</t>
        </is>
      </c>
      <c r="N75" t="inlineStr"/>
      <c r="O75" t="inlineStr">
        <is>
          <t>Colombo; Sri Lanka</t>
        </is>
      </c>
      <c r="P75" t="inlineStr">
        <is>
          <t>South Asia</t>
        </is>
      </c>
      <c r="Q75" t="inlineStr"/>
      <c r="R75" t="inlineStr"/>
      <c r="S75" t="inlineStr"/>
      <c r="T75" t="inlineStr">
        <is>
          <t>mixed</t>
        </is>
      </c>
      <c r="U75" t="inlineStr"/>
      <c r="V75" t="inlineStr"/>
      <c r="W75" t="inlineStr">
        <is>
          <t>auto: In this context, this research studied the public space from the user perception by considering publicly owned and operated versus privately owned and operated public spaces within Colombo, Sri Lanka.</t>
        </is>
      </c>
      <c r="X75" t="inlineStr"/>
      <c r="Y75" t="inlineStr"/>
      <c r="Z75" t="inlineStr">
        <is>
          <t>high</t>
        </is>
      </c>
      <c r="AA75" t="inlineStr">
        <is>
          <t>A9:india</t>
        </is>
      </c>
      <c r="AB75" t="inlineStr"/>
      <c r="AC75" t="n">
        <v>4.4603</v>
      </c>
    </row>
    <row r="76">
      <c r="A76" t="inlineStr">
        <is>
          <t>LM00075</t>
        </is>
      </c>
      <c r="B76" t="inlineStr">
        <is>
          <t>Park Politics in a Postcolonial Indian City: Planning (and) Public Space in Bangalore</t>
        </is>
      </c>
      <c r="C76" t="n">
        <v>2022</v>
      </c>
      <c r="D76" t="inlineStr">
        <is>
          <t>Salila Vanka</t>
        </is>
      </c>
      <c r="E76" t="inlineStr">
        <is>
          <t>Built Environment</t>
        </is>
      </c>
      <c r="F76" t="inlineStr">
        <is>
          <t>article</t>
        </is>
      </c>
      <c r="G76" t="inlineStr">
        <is>
          <t>10.2148/benv.48.2.169</t>
        </is>
      </c>
      <c r="H76" t="inlineStr">
        <is>
          <t>W4290039801</t>
        </is>
      </c>
      <c r="I76" t="inlineStr">
        <is>
          <t>https://doi.org/10.2148/benv.48.2.169</t>
        </is>
      </c>
      <c r="J76" t="inlineStr"/>
      <c r="K76" t="n">
        <v>2</v>
      </c>
      <c r="L76" t="inlineStr">
        <is>
          <t>A</t>
        </is>
      </c>
      <c r="M76" t="inlineStr">
        <is>
          <t>A9</t>
        </is>
      </c>
      <c r="N76" t="inlineStr"/>
      <c r="O76" t="inlineStr">
        <is>
          <t>Bangalore; India</t>
        </is>
      </c>
      <c r="P76" t="inlineStr">
        <is>
          <t>South Asia</t>
        </is>
      </c>
      <c r="Q76" t="inlineStr">
        <is>
          <t>Y</t>
        </is>
      </c>
      <c r="R76" t="inlineStr"/>
      <c r="S76" t="inlineStr"/>
      <c r="T76" t="inlineStr">
        <is>
          <t>conceptual</t>
        </is>
      </c>
      <c r="U76" t="inlineStr"/>
      <c r="V76" t="inlineStr"/>
      <c r="W76" t="inlineStr">
        <is>
          <t>auto: This paper highlights different facets of public space in Indian cities by examining contestations and conceptualizations of a maidan (open ground) in Bangalore.</t>
        </is>
      </c>
      <c r="X76" t="inlineStr"/>
      <c r="Y76" t="inlineStr"/>
      <c r="Z76" t="inlineStr">
        <is>
          <t>high</t>
        </is>
      </c>
      <c r="AA76" t="inlineStr">
        <is>
          <t>A9:india</t>
        </is>
      </c>
      <c r="AB76" t="inlineStr"/>
      <c r="AC76" t="n">
        <v>0.9901</v>
      </c>
    </row>
    <row r="77">
      <c r="A77" t="inlineStr">
        <is>
          <t>LM00076</t>
        </is>
      </c>
      <c r="B77" t="inlineStr">
        <is>
          <t>'Delhi is a hopeful place for me!': young middle-class women reclaiming the Indian city</t>
        </is>
      </c>
      <c r="C77" t="n">
        <v>2022</v>
      </c>
      <c r="D77" t="inlineStr">
        <is>
          <t>Syeda Jenifa Zahan</t>
        </is>
      </c>
      <c r="E77" t="inlineStr">
        <is>
          <t>Gender Place &amp; Culture</t>
        </is>
      </c>
      <c r="F77" t="inlineStr">
        <is>
          <t>article</t>
        </is>
      </c>
      <c r="G77" t="inlineStr">
        <is>
          <t>10.1080/0966369x.2022.2124961</t>
        </is>
      </c>
      <c r="H77" t="inlineStr">
        <is>
          <t>W4296834042</t>
        </is>
      </c>
      <c r="I77" t="inlineStr">
        <is>
          <t>https://doi.org/10.1080/0966369x.2022.2124961</t>
        </is>
      </c>
      <c r="J77" t="inlineStr">
        <is>
          <t>https://www.sciencedirect.com/science/article/pii/S1877916623000620</t>
        </is>
      </c>
      <c r="K77" t="n">
        <v>2</v>
      </c>
      <c r="L77" t="inlineStr">
        <is>
          <t>A</t>
        </is>
      </c>
      <c r="M77" t="inlineStr">
        <is>
          <t>A9</t>
        </is>
      </c>
      <c r="N77" t="inlineStr"/>
      <c r="O77" t="inlineStr">
        <is>
          <t>Delhi; India</t>
        </is>
      </c>
      <c r="P77" t="inlineStr">
        <is>
          <t>South Asia</t>
        </is>
      </c>
      <c r="Q77" t="inlineStr">
        <is>
          <t>Y</t>
        </is>
      </c>
      <c r="R77" t="inlineStr">
        <is>
          <t>Y</t>
        </is>
      </c>
      <c r="S77" t="inlineStr"/>
      <c r="T77" t="inlineStr">
        <is>
          <t>qualitative</t>
        </is>
      </c>
      <c r="U77" t="inlineStr"/>
      <c r="V77" t="inlineStr"/>
      <c r="W77" t="inlineStr">
        <is>
          <t>auto: This paper evaluates some of these issues through speech act and resilience of young, unmarried, middle-class women in Delhi, India.</t>
        </is>
      </c>
      <c r="X77" t="inlineStr"/>
      <c r="Y77" t="inlineStr"/>
      <c r="Z77" t="inlineStr">
        <is>
          <t>medium</t>
        </is>
      </c>
      <c r="AA77" t="inlineStr">
        <is>
          <t>A9:india</t>
        </is>
      </c>
      <c r="AB77" t="inlineStr"/>
      <c r="AC77" t="n">
        <v>0.7006</v>
      </c>
    </row>
    <row r="78">
      <c r="A78" t="inlineStr">
        <is>
          <t>LM00077</t>
        </is>
      </c>
      <c r="B78" t="inlineStr">
        <is>
          <t>Unpacking Urban Environmental Visions and Contestations of Street Vendors in Kolkata, West Bengal</t>
        </is>
      </c>
      <c r="C78" t="n">
        <v>2023</v>
      </c>
      <c r="D78" t="inlineStr">
        <is>
          <t>Madhubarna Dhar; Amrita Sen; Archana Patnaik</t>
        </is>
      </c>
      <c r="E78" t="inlineStr">
        <is>
          <t>Global Social Welfare</t>
        </is>
      </c>
      <c r="F78" t="inlineStr">
        <is>
          <t>article</t>
        </is>
      </c>
      <c r="G78" t="inlineStr">
        <is>
          <t>10.1007/s40609-023-00297-4</t>
        </is>
      </c>
      <c r="H78" t="inlineStr">
        <is>
          <t>W4383816347</t>
        </is>
      </c>
      <c r="I78" t="inlineStr">
        <is>
          <t>https://doi.org/10.1007/s40609-023-00297-4</t>
        </is>
      </c>
      <c r="J78" t="inlineStr"/>
      <c r="K78" t="n">
        <v>2</v>
      </c>
      <c r="L78" t="inlineStr">
        <is>
          <t>A</t>
        </is>
      </c>
      <c r="M78" t="inlineStr">
        <is>
          <t>A9</t>
        </is>
      </c>
      <c r="N78" t="inlineStr"/>
      <c r="O78" t="inlineStr">
        <is>
          <t>Kolkata; West Bengal</t>
        </is>
      </c>
      <c r="P78" t="inlineStr">
        <is>
          <t>South Asia</t>
        </is>
      </c>
      <c r="Q78" t="inlineStr">
        <is>
          <t>Y</t>
        </is>
      </c>
      <c r="R78" t="inlineStr"/>
      <c r="S78" t="inlineStr"/>
      <c r="T78" t="inlineStr">
        <is>
          <t>unclear</t>
        </is>
      </c>
      <c r="U78" t="inlineStr"/>
      <c r="V78" t="inlineStr"/>
      <c r="W78" t="inlineStr"/>
      <c r="X78" t="inlineStr"/>
      <c r="Y78" t="inlineStr"/>
      <c r="Z78" t="inlineStr">
        <is>
          <t>low</t>
        </is>
      </c>
      <c r="AA78" t="inlineStr">
        <is>
          <t>A9:india</t>
        </is>
      </c>
      <c r="AB78" t="inlineStr"/>
      <c r="AC78" t="n">
        <v>1.2154</v>
      </c>
    </row>
    <row r="79">
      <c r="A79" t="inlineStr">
        <is>
          <t>LM00078</t>
        </is>
      </c>
      <c r="B79" t="inlineStr">
        <is>
          <t>Assessing the publicness of three streets in ethnically-diverse neighbourhoods</t>
        </is>
      </c>
      <c r="C79" t="n">
        <v>2024</v>
      </c>
      <c r="D79" t="inlineStr">
        <is>
          <t>Maryam Lesan</t>
        </is>
      </c>
      <c r="E79" t="inlineStr">
        <is>
          <t>Local Environment</t>
        </is>
      </c>
      <c r="F79" t="inlineStr">
        <is>
          <t>article</t>
        </is>
      </c>
      <c r="G79" t="inlineStr">
        <is>
          <t>10.1080/13549839.2024.2309502</t>
        </is>
      </c>
      <c r="H79" t="inlineStr">
        <is>
          <t>W4391507970</t>
        </is>
      </c>
      <c r="I79" t="inlineStr">
        <is>
          <t>https://doi.org/10.1080/13549839.2024.2309502</t>
        </is>
      </c>
      <c r="J79" t="inlineStr"/>
      <c r="K79" t="n">
        <v>2</v>
      </c>
      <c r="L79" t="inlineStr">
        <is>
          <t>A</t>
        </is>
      </c>
      <c r="M79" t="inlineStr">
        <is>
          <t>A9</t>
        </is>
      </c>
      <c r="N79" t="inlineStr"/>
      <c r="O79" t="inlineStr">
        <is>
          <t>New Zealand</t>
        </is>
      </c>
      <c r="P79" t="inlineStr">
        <is>
          <t>Global North</t>
        </is>
      </c>
      <c r="Q79" t="inlineStr"/>
      <c r="R79" t="inlineStr"/>
      <c r="S79" t="inlineStr"/>
      <c r="T79" t="inlineStr">
        <is>
          <t>mixed</t>
        </is>
      </c>
      <c r="U79" t="inlineStr"/>
      <c r="V79" t="inlineStr">
        <is>
          <t>Y</t>
        </is>
      </c>
      <c r="W79" t="inlineStr">
        <is>
          <t>auto: This paper aims to evaluate and compare the degree of “publicness” exhibited by streets situated within ethnically diverse neighbourhoods.</t>
        </is>
      </c>
      <c r="X79" t="inlineStr"/>
      <c r="Y79" t="inlineStr"/>
      <c r="Z79" t="inlineStr">
        <is>
          <t>high</t>
        </is>
      </c>
      <c r="AA79" t="inlineStr">
        <is>
          <t>A9:recent</t>
        </is>
      </c>
      <c r="AB79" t="inlineStr"/>
      <c r="AC79" t="n">
        <v>2.1529</v>
      </c>
    </row>
    <row r="80">
      <c r="A80" t="inlineStr">
        <is>
          <t>LM00079</t>
        </is>
      </c>
      <c r="B80" t="inlineStr">
        <is>
          <t>Insights about the publicness of public space from the Kamppi area of Helsinki</t>
        </is>
      </c>
      <c r="C80" t="n">
        <v>2024</v>
      </c>
      <c r="D80" t="inlineStr">
        <is>
          <t>Žieda Tamašauskaitė</t>
        </is>
      </c>
      <c r="E80" t="inlineStr">
        <is>
          <t>Fennia</t>
        </is>
      </c>
      <c r="F80" t="inlineStr">
        <is>
          <t>article</t>
        </is>
      </c>
      <c r="G80" t="inlineStr">
        <is>
          <t>10.11143/fennia.144351</t>
        </is>
      </c>
      <c r="H80" t="inlineStr">
        <is>
          <t>W4396571345</t>
        </is>
      </c>
      <c r="I80" t="inlineStr">
        <is>
          <t>https://doi.org/10.11143/fennia.144351</t>
        </is>
      </c>
      <c r="J80" t="inlineStr">
        <is>
          <t>https://fennia.journal.fi/article/download/144351/92331</t>
        </is>
      </c>
      <c r="K80" t="n">
        <v>2</v>
      </c>
      <c r="L80" t="inlineStr">
        <is>
          <t>A</t>
        </is>
      </c>
      <c r="M80" t="inlineStr">
        <is>
          <t>A9</t>
        </is>
      </c>
      <c r="N80" t="inlineStr"/>
      <c r="O80" t="inlineStr">
        <is>
          <t>Helsinki</t>
        </is>
      </c>
      <c r="P80" t="inlineStr">
        <is>
          <t>Global North</t>
        </is>
      </c>
      <c r="Q80" t="inlineStr"/>
      <c r="R80" t="inlineStr"/>
      <c r="S80" t="inlineStr"/>
      <c r="T80" t="inlineStr">
        <is>
          <t>qualitative</t>
        </is>
      </c>
      <c r="U80" t="inlineStr"/>
      <c r="V80" t="inlineStr">
        <is>
          <t>Y</t>
        </is>
      </c>
      <c r="W80" t="inlineStr">
        <is>
          <t>auto: Undergoing dramatic changes in its form, structure and purpose, public space has recently drawn sharp criticisms from its investigators and its theorists.</t>
        </is>
      </c>
      <c r="X80" t="inlineStr"/>
      <c r="Y80" t="inlineStr"/>
      <c r="Z80" t="inlineStr">
        <is>
          <t>high</t>
        </is>
      </c>
      <c r="AA80" t="inlineStr">
        <is>
          <t>A9:recent</t>
        </is>
      </c>
      <c r="AB80" t="inlineStr"/>
      <c r="AC80" t="n">
        <v>2.1529</v>
      </c>
    </row>
    <row r="81">
      <c r="A81" t="inlineStr">
        <is>
          <t>LM00080</t>
        </is>
      </c>
      <c r="B81" t="inlineStr">
        <is>
          <t>Evaluating publicness of public space and its transforming pattern: A case of the inner courtyard at Khulna new market</t>
        </is>
      </c>
      <c r="C81" t="n">
        <v>2024</v>
      </c>
      <c r="D81" t="inlineStr">
        <is>
          <t>A. Morshed; M. G. Sami; N. Islam; M. Y. Dola</t>
        </is>
      </c>
      <c r="E81" t="inlineStr">
        <is>
          <t>FARU Journal</t>
        </is>
      </c>
      <c r="F81" t="inlineStr">
        <is>
          <t>article</t>
        </is>
      </c>
      <c r="G81" t="inlineStr">
        <is>
          <t>10.4038/faruj.v11i2.322</t>
        </is>
      </c>
      <c r="H81" t="inlineStr">
        <is>
          <t>W4405883846</t>
        </is>
      </c>
      <c r="I81" t="inlineStr">
        <is>
          <t>https://doi.org/10.4038/faruj.v11i2.322</t>
        </is>
      </c>
      <c r="J81" t="inlineStr">
        <is>
          <t>https://faruj.sljol.info/articles/322/files/677239c1e9a73.pdf</t>
        </is>
      </c>
      <c r="K81" t="n">
        <v>2</v>
      </c>
      <c r="L81" t="inlineStr">
        <is>
          <t>A</t>
        </is>
      </c>
      <c r="M81" t="inlineStr">
        <is>
          <t>A9</t>
        </is>
      </c>
      <c r="N81" t="inlineStr"/>
      <c r="O81" t="inlineStr">
        <is>
          <t>Khulna</t>
        </is>
      </c>
      <c r="P81" t="inlineStr">
        <is>
          <t>South Asia</t>
        </is>
      </c>
      <c r="Q81" t="inlineStr"/>
      <c r="R81" t="inlineStr"/>
      <c r="S81" t="inlineStr"/>
      <c r="T81" t="inlineStr">
        <is>
          <t>conceptual</t>
        </is>
      </c>
      <c r="U81" t="inlineStr"/>
      <c r="V81" t="inlineStr">
        <is>
          <t>Y</t>
        </is>
      </c>
      <c r="W81" t="inlineStr">
        <is>
          <t>auto: This paper aims to understand different dimensions and indicators of publicness from both theoretical and practical aspects and how the patterns are transforming through the perspective of a city.</t>
        </is>
      </c>
      <c r="X81" t="inlineStr"/>
      <c r="Y81" t="inlineStr"/>
      <c r="Z81" t="inlineStr">
        <is>
          <t>high</t>
        </is>
      </c>
      <c r="AA81" t="inlineStr">
        <is>
          <t>A9:recent</t>
        </is>
      </c>
      <c r="AB81" t="inlineStr"/>
      <c r="AC81" t="n">
        <v>2.1795</v>
      </c>
    </row>
    <row r="82">
      <c r="A82" t="inlineStr">
        <is>
          <t>LM00081</t>
        </is>
      </c>
      <c r="B82" t="inlineStr">
        <is>
          <t>Designing for sociability and the erosion of publicness: how COVID-19 changed public space</t>
        </is>
      </c>
      <c r="C82" t="n">
        <v>2025</v>
      </c>
      <c r="D82" t="inlineStr">
        <is>
          <t>Vikas Mehta; Szymon Piotr Nogalski</t>
        </is>
      </c>
      <c r="E82" t="inlineStr">
        <is>
          <t>Journal of Urban Design</t>
        </is>
      </c>
      <c r="F82" t="inlineStr">
        <is>
          <t>article</t>
        </is>
      </c>
      <c r="G82" t="inlineStr">
        <is>
          <t>10.1080/13574809.2025.2459711</t>
        </is>
      </c>
      <c r="H82" t="inlineStr">
        <is>
          <t>W4407721118</t>
        </is>
      </c>
      <c r="I82" t="inlineStr">
        <is>
          <t>https://doi.org/10.1080/13574809.2025.2459711</t>
        </is>
      </c>
      <c r="J82" t="inlineStr"/>
      <c r="K82" t="n">
        <v>2</v>
      </c>
      <c r="L82" t="inlineStr">
        <is>
          <t>A</t>
        </is>
      </c>
      <c r="M82" t="inlineStr">
        <is>
          <t>A9</t>
        </is>
      </c>
      <c r="N82" t="inlineStr"/>
      <c r="O82" t="inlineStr"/>
      <c r="P82" t="inlineStr">
        <is>
          <t>Not place-specific</t>
        </is>
      </c>
      <c r="Q82" t="inlineStr"/>
      <c r="R82" t="inlineStr"/>
      <c r="S82" t="inlineStr"/>
      <c r="T82" t="inlineStr">
        <is>
          <t>unclear</t>
        </is>
      </c>
      <c r="U82" t="inlineStr"/>
      <c r="V82" t="inlineStr">
        <is>
          <t>Y</t>
        </is>
      </c>
      <c r="W82" t="inlineStr">
        <is>
          <t>auto: This paper examines the transformation of streets in Over-the-Rhine neighbourhood in Cincinnati, Ohio in the US to assess the changes in sociability and publicness from the time before the pandemic to the present.</t>
        </is>
      </c>
      <c r="X82" t="inlineStr"/>
      <c r="Y82" t="inlineStr"/>
      <c r="Z82" t="inlineStr">
        <is>
          <t>high</t>
        </is>
      </c>
      <c r="AA82" t="inlineStr">
        <is>
          <t>A9:recent</t>
        </is>
      </c>
      <c r="AB82" t="inlineStr"/>
      <c r="AC82" t="n">
        <v>4.2338</v>
      </c>
    </row>
    <row r="83">
      <c r="A83" t="inlineStr">
        <is>
          <t>LM00082</t>
        </is>
      </c>
      <c r="B83" t="inlineStr">
        <is>
          <t>A ‘space-order’ publicness model: interpreting public space development in Shanghai’s people-oriented urban regeneration</t>
        </is>
      </c>
      <c r="C83" t="n">
        <v>2025</v>
      </c>
      <c r="D83" t="inlineStr">
        <is>
          <t>Jingyi Zhu</t>
        </is>
      </c>
      <c r="E83" t="inlineStr">
        <is>
          <t>Journal of Urbanism International Research on Placemaking and Urban Sustainability</t>
        </is>
      </c>
      <c r="F83" t="inlineStr">
        <is>
          <t>article</t>
        </is>
      </c>
      <c r="G83" t="inlineStr">
        <is>
          <t>10.1080/17549175.2025.2570536</t>
        </is>
      </c>
      <c r="H83" t="inlineStr">
        <is>
          <t>W4415043189</t>
        </is>
      </c>
      <c r="I83" t="inlineStr">
        <is>
          <t>https://doi.org/10.1080/17549175.2025.2570536</t>
        </is>
      </c>
      <c r="J83" t="inlineStr">
        <is>
          <t>https://doi.org/10.1080/17549175.2025.2570536</t>
        </is>
      </c>
      <c r="K83" t="n">
        <v>2</v>
      </c>
      <c r="L83" t="inlineStr">
        <is>
          <t>A</t>
        </is>
      </c>
      <c r="M83" t="inlineStr">
        <is>
          <t>A9</t>
        </is>
      </c>
      <c r="N83" t="inlineStr"/>
      <c r="O83" t="inlineStr">
        <is>
          <t>Shanghai</t>
        </is>
      </c>
      <c r="P83" t="inlineStr">
        <is>
          <t>China &amp; East Asia</t>
        </is>
      </c>
      <c r="Q83" t="inlineStr"/>
      <c r="R83" t="inlineStr"/>
      <c r="S83" t="inlineStr"/>
      <c r="T83" t="inlineStr">
        <is>
          <t>qualitative</t>
        </is>
      </c>
      <c r="U83" t="inlineStr"/>
      <c r="V83" t="inlineStr">
        <is>
          <t>Y</t>
        </is>
      </c>
      <c r="W83" t="inlineStr">
        <is>
          <t>auto: This paper argues that the non-normative approach better captures the complexity of visions and aspirations of different actors about space and the different ways space is produced and constructed as public.</t>
        </is>
      </c>
      <c r="X83" t="inlineStr"/>
      <c r="Y83" t="inlineStr"/>
      <c r="Z83" t="inlineStr">
        <is>
          <t>high</t>
        </is>
      </c>
      <c r="AA83" t="inlineStr">
        <is>
          <t>A9:recent</t>
        </is>
      </c>
      <c r="AB83" t="inlineStr"/>
      <c r="AC83" t="n">
        <v>4.1493</v>
      </c>
    </row>
    <row r="84">
      <c r="A84" t="inlineStr">
        <is>
          <t>LM00083</t>
        </is>
      </c>
      <c r="B84" t="inlineStr">
        <is>
          <t>A Critical Review of the Literature on Privately Owned Public Spaces: From Intrinsic Critiques to Systematic Assessment</t>
        </is>
      </c>
      <c r="C84" t="n">
        <v>2025</v>
      </c>
      <c r="D84" t="inlineStr">
        <is>
          <t>Mohammad Mohammadi; Quentin Stevens</t>
        </is>
      </c>
      <c r="E84" t="inlineStr">
        <is>
          <t>Journal of Planning Literature</t>
        </is>
      </c>
      <c r="F84" t="inlineStr">
        <is>
          <t>article</t>
        </is>
      </c>
      <c r="G84" t="inlineStr">
        <is>
          <t>10.1177/08854122251400201</t>
        </is>
      </c>
      <c r="H84" t="inlineStr">
        <is>
          <t>W4416950495</t>
        </is>
      </c>
      <c r="I84" t="inlineStr">
        <is>
          <t>https://doi.org/10.1177/08854122251400201</t>
        </is>
      </c>
      <c r="J84" t="inlineStr">
        <is>
          <t>https://doi.org/10.1177/08854122251400201</t>
        </is>
      </c>
      <c r="K84" t="n">
        <v>2</v>
      </c>
      <c r="L84" t="inlineStr">
        <is>
          <t>A</t>
        </is>
      </c>
      <c r="M84" t="inlineStr">
        <is>
          <t>A9</t>
        </is>
      </c>
      <c r="N84" t="inlineStr"/>
      <c r="O84" t="inlineStr"/>
      <c r="P84" t="inlineStr">
        <is>
          <t>Not place-specific</t>
        </is>
      </c>
      <c r="Q84" t="inlineStr"/>
      <c r="R84" t="inlineStr"/>
      <c r="S84" t="inlineStr"/>
      <c r="T84" t="inlineStr">
        <is>
          <t>review</t>
        </is>
      </c>
      <c r="U84" t="inlineStr"/>
      <c r="V84" t="inlineStr">
        <is>
          <t>Y</t>
        </is>
      </c>
      <c r="W84" t="inlineStr">
        <is>
          <t>auto: Through a review of key studies (1980–2023), this paper traces how POPS scholarship has changed from fundamental critiques of privatization to evidence-based assessment of spatial practices.</t>
        </is>
      </c>
      <c r="X84" t="inlineStr"/>
      <c r="Y84" t="inlineStr"/>
      <c r="Z84" t="inlineStr">
        <is>
          <t>high</t>
        </is>
      </c>
      <c r="AA84" t="inlineStr">
        <is>
          <t>A9:recent</t>
        </is>
      </c>
      <c r="AB84" t="inlineStr"/>
      <c r="AC84" t="n">
        <v>4.2338</v>
      </c>
    </row>
    <row r="85">
      <c r="A85" t="inlineStr">
        <is>
          <t>LM00084</t>
        </is>
      </c>
      <c r="B85" t="inlineStr">
        <is>
          <t>Privatization of public space: stakeholder analysis in shifting the function of public space case study in Kediri city, Indonesia</t>
        </is>
      </c>
      <c r="C85" t="n">
        <v>2022</v>
      </c>
      <c r="D85" t="inlineStr">
        <is>
          <t>Trimurti Ningtyas; Siti Amanah</t>
        </is>
      </c>
      <c r="E85" t="inlineStr">
        <is>
          <t>Management and Entrepreneurship Trends of Development</t>
        </is>
      </c>
      <c r="F85" t="inlineStr">
        <is>
          <t>article</t>
        </is>
      </c>
      <c r="G85" t="inlineStr">
        <is>
          <t>10.26661/2522-1566/2022-1/19-01</t>
        </is>
      </c>
      <c r="H85" t="inlineStr">
        <is>
          <t>W4226371194</t>
        </is>
      </c>
      <c r="I85" t="inlineStr">
        <is>
          <t>https://doi.org/10.26661/2522-1566/2022-1/19-01</t>
        </is>
      </c>
      <c r="J85" t="inlineStr">
        <is>
          <t>https://management-journal.org.ua/index.php/journal/article/download/355/185</t>
        </is>
      </c>
      <c r="K85" t="n">
        <v>1</v>
      </c>
      <c r="L85" t="inlineStr">
        <is>
          <t>A</t>
        </is>
      </c>
      <c r="M85" t="inlineStr">
        <is>
          <t>A9</t>
        </is>
      </c>
      <c r="N85" t="inlineStr"/>
      <c r="O85" t="inlineStr">
        <is>
          <t>Indonesia</t>
        </is>
      </c>
      <c r="P85" t="inlineStr">
        <is>
          <t>Southeast Asia</t>
        </is>
      </c>
      <c r="Q85" t="inlineStr"/>
      <c r="R85" t="inlineStr"/>
      <c r="S85" t="inlineStr"/>
      <c r="T85" t="inlineStr">
        <is>
          <t>qualitative</t>
        </is>
      </c>
      <c r="U85" t="inlineStr"/>
      <c r="V85" t="inlineStr"/>
      <c r="W85" t="inlineStr">
        <is>
          <t>auto: This study aims to determine the shift in the function of public space and how the interests that exist in it.</t>
        </is>
      </c>
      <c r="X85" t="inlineStr"/>
      <c r="Y85" t="inlineStr"/>
      <c r="Z85" t="inlineStr">
        <is>
          <t>high</t>
        </is>
      </c>
      <c r="AA85" t="inlineStr">
        <is>
          <t>A9:recent</t>
        </is>
      </c>
      <c r="AB85" t="inlineStr"/>
      <c r="AC85" t="n">
        <v>0.4924</v>
      </c>
    </row>
    <row r="86">
      <c r="A86" t="inlineStr">
        <is>
          <t>LM00085</t>
        </is>
      </c>
      <c r="B86" t="inlineStr">
        <is>
          <t>PUBLICNESS OF PUBLIC SPACES IN METROPOLITAN CITY OF A DEVELOPING COUNTRY: THE CASE OF LAHORE, PAKISTAN</t>
        </is>
      </c>
      <c r="C86" t="n">
        <v>2022</v>
      </c>
      <c r="D86" t="inlineStr">
        <is>
          <t>Aqsa Qalb; Hamza Yasin; Obaidullah Nadeem; Marium Nawaz; Fariha Tariq</t>
        </is>
      </c>
      <c r="E86" t="inlineStr">
        <is>
          <t>Journal of Research in Architecture &amp; Planning</t>
        </is>
      </c>
      <c r="F86" t="inlineStr">
        <is>
          <t>article</t>
        </is>
      </c>
      <c r="G86" t="inlineStr">
        <is>
          <t>10.53700/jrap3212022_3</t>
        </is>
      </c>
      <c r="H86" t="inlineStr">
        <is>
          <t>W4312514990</t>
        </is>
      </c>
      <c r="I86" t="inlineStr">
        <is>
          <t>https://doi.org/10.53700/jrap3212022_3</t>
        </is>
      </c>
      <c r="J86" t="inlineStr">
        <is>
          <t>https://doi.org/10.53700/jrap3212022_3</t>
        </is>
      </c>
      <c r="K86" t="n">
        <v>1</v>
      </c>
      <c r="L86" t="inlineStr">
        <is>
          <t>A</t>
        </is>
      </c>
      <c r="M86" t="inlineStr">
        <is>
          <t>A9</t>
        </is>
      </c>
      <c r="N86" t="inlineStr"/>
      <c r="O86" t="inlineStr">
        <is>
          <t>Lahore</t>
        </is>
      </c>
      <c r="P86" t="inlineStr">
        <is>
          <t>South Asia</t>
        </is>
      </c>
      <c r="Q86" t="inlineStr"/>
      <c r="R86" t="inlineStr"/>
      <c r="S86" t="inlineStr"/>
      <c r="T86" t="inlineStr">
        <is>
          <t>mixed</t>
        </is>
      </c>
      <c r="U86" t="inlineStr"/>
      <c r="V86" t="inlineStr"/>
      <c r="W86" t="inlineStr">
        <is>
          <t>auto: This study evaluates the publicness of commercial public spaces in Lahore, using the Star Model, widely suggested in the literature, to recommend urban design interventions for improving the publicness of similar public spaces.</t>
        </is>
      </c>
      <c r="X86" t="inlineStr"/>
      <c r="Y86" t="inlineStr"/>
      <c r="Z86" t="inlineStr">
        <is>
          <t>high</t>
        </is>
      </c>
      <c r="AA86" t="inlineStr">
        <is>
          <t>A9:india; A9:recent</t>
        </is>
      </c>
      <c r="AB86" t="inlineStr"/>
      <c r="AC86" t="n">
        <v>0.4951</v>
      </c>
    </row>
    <row r="87">
      <c r="A87" t="inlineStr">
        <is>
          <t>LM00086</t>
        </is>
      </c>
      <c r="B87" t="inlineStr">
        <is>
          <t>Informality and the Production of Publicness in India</t>
        </is>
      </c>
      <c r="C87" t="n">
        <v>2022</v>
      </c>
      <c r="D87" t="inlineStr">
        <is>
          <t>Vikas Mehta</t>
        </is>
      </c>
      <c r="E87" t="inlineStr">
        <is>
          <t>Springer eBooks</t>
        </is>
      </c>
      <c r="F87" t="inlineStr">
        <is>
          <t>book-chapter</t>
        </is>
      </c>
      <c r="G87" t="inlineStr">
        <is>
          <t>10.1007/978-3-030-99926-1_27</t>
        </is>
      </c>
      <c r="H87" t="inlineStr">
        <is>
          <t>W4312836576</t>
        </is>
      </c>
      <c r="I87" t="inlineStr">
        <is>
          <t>https://doi.org/10.1007/978-3-030-99926-1_27</t>
        </is>
      </c>
      <c r="J87" t="inlineStr"/>
      <c r="K87" t="n">
        <v>1</v>
      </c>
      <c r="L87" t="inlineStr">
        <is>
          <t>A</t>
        </is>
      </c>
      <c r="M87" t="inlineStr">
        <is>
          <t>A9</t>
        </is>
      </c>
      <c r="N87" t="inlineStr"/>
      <c r="O87" t="inlineStr">
        <is>
          <t>India</t>
        </is>
      </c>
      <c r="P87" t="inlineStr">
        <is>
          <t>South Asia</t>
        </is>
      </c>
      <c r="Q87" t="inlineStr">
        <is>
          <t>Y</t>
        </is>
      </c>
      <c r="R87" t="inlineStr"/>
      <c r="S87" t="inlineStr"/>
      <c r="T87" t="inlineStr">
        <is>
          <t>unclear</t>
        </is>
      </c>
      <c r="U87" t="inlineStr"/>
      <c r="V87" t="inlineStr">
        <is>
          <t>Y</t>
        </is>
      </c>
      <c r="W87" t="inlineStr"/>
      <c r="X87" t="inlineStr"/>
      <c r="Y87" t="inlineStr"/>
      <c r="Z87" t="inlineStr">
        <is>
          <t>low</t>
        </is>
      </c>
      <c r="AA87" t="inlineStr">
        <is>
          <t>A9:india</t>
        </is>
      </c>
      <c r="AB87" t="inlineStr"/>
      <c r="AC87" t="n">
        <v>2.3803</v>
      </c>
    </row>
    <row r="88">
      <c r="A88" t="inlineStr">
        <is>
          <t>LM00087</t>
        </is>
      </c>
      <c r="B88" t="inlineStr">
        <is>
          <t>Urban Planning Criteria for Defining Privately Owned Public Spaces (POPS)</t>
        </is>
      </c>
      <c r="C88" t="n">
        <v>2023</v>
      </c>
      <c r="D88" t="inlineStr">
        <is>
          <t>Zejnulla Rexhepi; Sanja Gašparović; Tihomir Jukić</t>
        </is>
      </c>
      <c r="E88" t="inlineStr">
        <is>
          <t>Prostor : znanstveni časopis za arhitekturu i urbanizam</t>
        </is>
      </c>
      <c r="F88" t="inlineStr">
        <is>
          <t>article</t>
        </is>
      </c>
      <c r="G88" t="inlineStr">
        <is>
          <t>10.31522/p.31.1(65).10</t>
        </is>
      </c>
      <c r="H88" t="inlineStr">
        <is>
          <t>W4382789181</t>
        </is>
      </c>
      <c r="I88" t="inlineStr">
        <is>
          <t>https://doi.org/10.31522/p.31.1(65).10</t>
        </is>
      </c>
      <c r="J88" t="inlineStr">
        <is>
          <t>https://hrcak.srce.hr/file/439766</t>
        </is>
      </c>
      <c r="K88" t="n">
        <v>1</v>
      </c>
      <c r="L88" t="inlineStr">
        <is>
          <t>A</t>
        </is>
      </c>
      <c r="M88" t="inlineStr">
        <is>
          <t>A9</t>
        </is>
      </c>
      <c r="N88" t="inlineStr"/>
      <c r="O88" t="inlineStr"/>
      <c r="P88" t="inlineStr">
        <is>
          <t>Not place-specific</t>
        </is>
      </c>
      <c r="Q88" t="inlineStr"/>
      <c r="R88" t="inlineStr"/>
      <c r="S88" t="inlineStr"/>
      <c r="T88" t="inlineStr">
        <is>
          <t>review</t>
        </is>
      </c>
      <c r="U88" t="inlineStr"/>
      <c r="V88" t="inlineStr"/>
      <c r="W88" t="inlineStr">
        <is>
          <t>auto: This research is based on the systematic literature review related to the definition of Privately Owned Public Spaces (POPS).</t>
        </is>
      </c>
      <c r="X88" t="inlineStr">
        <is>
          <t>auto: The results show that a group of spatial criteria (usage impact, user’s perception, connectivity, urbanity and socialization) have been neglected or ignored in defining POPS.</t>
        </is>
      </c>
      <c r="Y88" t="inlineStr"/>
      <c r="Z88" t="inlineStr">
        <is>
          <t>high</t>
        </is>
      </c>
      <c r="AA88" t="inlineStr">
        <is>
          <t>A9:recent</t>
        </is>
      </c>
      <c r="AB88" t="inlineStr"/>
      <c r="AC88" t="n">
        <v>0.2782</v>
      </c>
    </row>
    <row r="89">
      <c r="A89" t="inlineStr">
        <is>
          <t>LM00088</t>
        </is>
      </c>
      <c r="B89" t="inlineStr">
        <is>
          <t>Post-Public: Contextualizing the Privatization of Public Space</t>
        </is>
      </c>
      <c r="C89" t="n">
        <v>2022</v>
      </c>
      <c r="D89" t="inlineStr">
        <is>
          <t>Max Frank; Brian M. Holland</t>
        </is>
      </c>
      <c r="E89" t="inlineStr"/>
      <c r="F89" t="inlineStr">
        <is>
          <t>conference-paper</t>
        </is>
      </c>
      <c r="G89" t="inlineStr">
        <is>
          <t>10.35483/acsa.am.110.85</t>
        </is>
      </c>
      <c r="H89" t="inlineStr">
        <is>
          <t>W4390942946</t>
        </is>
      </c>
      <c r="I89" t="inlineStr">
        <is>
          <t>https://doi.org/10.35483/acsa.am.110.85</t>
        </is>
      </c>
      <c r="J89" t="inlineStr">
        <is>
          <t>https://www.acsa-arch.org/proceedings/Annual Meeting Proceedings/ACSA.AM.110/ACSA.AM.110.85.pdf</t>
        </is>
      </c>
      <c r="K89" t="n">
        <v>1</v>
      </c>
      <c r="L89" t="inlineStr">
        <is>
          <t>A</t>
        </is>
      </c>
      <c r="M89" t="inlineStr">
        <is>
          <t>A9</t>
        </is>
      </c>
      <c r="N89" t="inlineStr"/>
      <c r="O89" t="inlineStr"/>
      <c r="P89" t="inlineStr">
        <is>
          <t>Not place-specific</t>
        </is>
      </c>
      <c r="Q89" t="inlineStr"/>
      <c r="R89" t="inlineStr"/>
      <c r="S89" t="inlineStr"/>
      <c r="T89" t="inlineStr">
        <is>
          <t>qualitative</t>
        </is>
      </c>
      <c r="U89" t="inlineStr"/>
      <c r="V89" t="inlineStr"/>
      <c r="W89" t="inlineStr">
        <is>
          <t>auto: This paper offers a novel conceptual framework to understand and evaluate privatization in the development and delivery of public spaces.</t>
        </is>
      </c>
      <c r="X89" t="inlineStr"/>
      <c r="Y89" t="inlineStr"/>
      <c r="Z89" t="inlineStr">
        <is>
          <t>medium</t>
        </is>
      </c>
      <c r="AA89" t="inlineStr">
        <is>
          <t>A9:recent</t>
        </is>
      </c>
      <c r="AB89" t="inlineStr"/>
      <c r="AC89" t="n">
        <v>0</v>
      </c>
    </row>
    <row r="90">
      <c r="A90" t="inlineStr">
        <is>
          <t>LM00089</t>
        </is>
      </c>
      <c r="B90" t="inlineStr">
        <is>
          <t>Assessing the Degree of Publicness in Streets</t>
        </is>
      </c>
      <c r="C90" t="n">
        <v>2024</v>
      </c>
      <c r="D90" t="inlineStr">
        <is>
          <t>Sandeep Paul</t>
        </is>
      </c>
      <c r="E90" t="inlineStr">
        <is>
          <t>Proceedings of the international conference of contemporary affairs in architecture and urbanism-ICCAUA.</t>
        </is>
      </c>
      <c r="F90" t="inlineStr">
        <is>
          <t>conference-paper</t>
        </is>
      </c>
      <c r="G90" t="inlineStr">
        <is>
          <t>10.38027/iccaua2024in0302</t>
        </is>
      </c>
      <c r="H90" t="inlineStr">
        <is>
          <t>W4401181410</t>
        </is>
      </c>
      <c r="I90" t="inlineStr">
        <is>
          <t>https://doi.org/10.38027/iccaua2024in0302</t>
        </is>
      </c>
      <c r="J90" t="inlineStr">
        <is>
          <t>https://journal.iccaua.com/jiccaua/article/download/529/412</t>
        </is>
      </c>
      <c r="K90" t="n">
        <v>1</v>
      </c>
      <c r="L90" t="inlineStr">
        <is>
          <t>A</t>
        </is>
      </c>
      <c r="M90" t="inlineStr">
        <is>
          <t>A9</t>
        </is>
      </c>
      <c r="N90" t="inlineStr"/>
      <c r="O90" t="inlineStr">
        <is>
          <t>India</t>
        </is>
      </c>
      <c r="P90" t="inlineStr">
        <is>
          <t>South Asia</t>
        </is>
      </c>
      <c r="Q90" t="inlineStr">
        <is>
          <t>Y</t>
        </is>
      </c>
      <c r="R90" t="inlineStr"/>
      <c r="S90" t="inlineStr"/>
      <c r="T90" t="inlineStr">
        <is>
          <t>conceptual</t>
        </is>
      </c>
      <c r="U90" t="inlineStr"/>
      <c r="V90" t="inlineStr">
        <is>
          <t>Y</t>
        </is>
      </c>
      <c r="W90" t="inlineStr">
        <is>
          <t>auto: This paper enquires socio-culturaland sensory aspects of street life.</t>
        </is>
      </c>
      <c r="X90" t="inlineStr"/>
      <c r="Y90" t="inlineStr"/>
      <c r="Z90" t="inlineStr">
        <is>
          <t>high</t>
        </is>
      </c>
      <c r="AA90" t="inlineStr">
        <is>
          <t>A9:india; A9:recent</t>
        </is>
      </c>
      <c r="AB90" t="inlineStr"/>
      <c r="AC90" t="n">
        <v>5.7344</v>
      </c>
    </row>
    <row r="91">
      <c r="A91" t="inlineStr">
        <is>
          <t>LM00090</t>
        </is>
      </c>
      <c r="B91" t="inlineStr">
        <is>
          <t>The end of publicness in Yorubaland? Exploring the privatisation of public space in Ile-Ife, Nigeria</t>
        </is>
      </c>
      <c r="C91" t="n">
        <v>2025</v>
      </c>
      <c r="D91" t="inlineStr">
        <is>
          <t>Temitope Muyiwa Adebara; Adewumi Israel Badiora; Adedotun Ayodele Dipeolu; Lateef Adeleke Adeniyi</t>
        </is>
      </c>
      <c r="E91" t="inlineStr">
        <is>
          <t>City Culture and Society</t>
        </is>
      </c>
      <c r="F91" t="inlineStr">
        <is>
          <t>article</t>
        </is>
      </c>
      <c r="G91" t="inlineStr">
        <is>
          <t>10.1016/j.ccs.2025.100638</t>
        </is>
      </c>
      <c r="H91" t="inlineStr">
        <is>
          <t>W4410565988</t>
        </is>
      </c>
      <c r="I91" t="inlineStr">
        <is>
          <t>https://doi.org/10.1016/j.ccs.2025.100638</t>
        </is>
      </c>
      <c r="J91" t="inlineStr"/>
      <c r="K91" t="n">
        <v>1</v>
      </c>
      <c r="L91" t="inlineStr">
        <is>
          <t>A</t>
        </is>
      </c>
      <c r="M91" t="inlineStr">
        <is>
          <t>A9</t>
        </is>
      </c>
      <c r="N91" t="inlineStr"/>
      <c r="O91" t="inlineStr">
        <is>
          <t>Ile-Ife; Nigeria</t>
        </is>
      </c>
      <c r="P91" t="inlineStr">
        <is>
          <t>Africa</t>
        </is>
      </c>
      <c r="Q91" t="inlineStr"/>
      <c r="R91" t="inlineStr"/>
      <c r="S91" t="inlineStr"/>
      <c r="T91" t="inlineStr">
        <is>
          <t>unclear</t>
        </is>
      </c>
      <c r="U91" t="inlineStr"/>
      <c r="V91" t="inlineStr">
        <is>
          <t>Y</t>
        </is>
      </c>
      <c r="W91" t="inlineStr"/>
      <c r="X91" t="inlineStr"/>
      <c r="Y91" t="inlineStr"/>
      <c r="Z91" t="inlineStr">
        <is>
          <t>low</t>
        </is>
      </c>
      <c r="AA91" t="inlineStr">
        <is>
          <t>A9:recent</t>
        </is>
      </c>
      <c r="AB91" t="inlineStr"/>
      <c r="AC91" t="n">
        <v>2.1169</v>
      </c>
    </row>
    <row r="92">
      <c r="A92" t="inlineStr">
        <is>
          <t>LM00091</t>
        </is>
      </c>
      <c r="B92" t="inlineStr">
        <is>
          <t>‘No Place for us on Footpaths’: Exploring Walkability Challenges of Older Men in India and Bangladesh</t>
        </is>
      </c>
      <c r="C92" t="n">
        <v>2025</v>
      </c>
      <c r="D92" t="inlineStr">
        <is>
          <t>Ajay Bailey; Selim Jahangir; Prajwal Nagesh</t>
        </is>
      </c>
      <c r="E92" t="inlineStr">
        <is>
          <t>Tijdschrift voor Economische en Sociale Geografie</t>
        </is>
      </c>
      <c r="F92" t="inlineStr">
        <is>
          <t>article</t>
        </is>
      </c>
      <c r="G92" t="inlineStr">
        <is>
          <t>10.1111/tesg.70034</t>
        </is>
      </c>
      <c r="H92" t="inlineStr">
        <is>
          <t>W4414399574</t>
        </is>
      </c>
      <c r="I92" t="inlineStr">
        <is>
          <t>https://doi.org/10.1111/tesg.70034</t>
        </is>
      </c>
      <c r="J92" t="inlineStr">
        <is>
          <t>https://onlinelibrary.wiley.com/doi/pdfdirect/10.1111/tesg.70034</t>
        </is>
      </c>
      <c r="K92" t="n">
        <v>1</v>
      </c>
      <c r="L92" t="inlineStr">
        <is>
          <t>A</t>
        </is>
      </c>
      <c r="M92" t="inlineStr">
        <is>
          <t>A9</t>
        </is>
      </c>
      <c r="N92" t="inlineStr"/>
      <c r="O92" t="inlineStr">
        <is>
          <t>Bangladesh; Bengaluru; Dhaka; India</t>
        </is>
      </c>
      <c r="P92" t="inlineStr">
        <is>
          <t>South Asia</t>
        </is>
      </c>
      <c r="Q92" t="inlineStr">
        <is>
          <t>Y</t>
        </is>
      </c>
      <c r="R92" t="inlineStr"/>
      <c r="S92" t="inlineStr"/>
      <c r="T92" t="inlineStr">
        <is>
          <t>mixed</t>
        </is>
      </c>
      <c r="U92" t="inlineStr"/>
      <c r="V92" t="inlineStr"/>
      <c r="W92" t="inlineStr">
        <is>
          <t>auto: Abstract In India and Bangladesh cities, footpaths play a crucial role in enhancing the mobility of older adults.</t>
        </is>
      </c>
      <c r="X92" t="inlineStr"/>
      <c r="Y92" t="inlineStr"/>
      <c r="Z92" t="inlineStr">
        <is>
          <t>medium</t>
        </is>
      </c>
      <c r="AA92" t="inlineStr">
        <is>
          <t>A9:india</t>
        </is>
      </c>
      <c r="AB92" t="inlineStr"/>
      <c r="AC92" t="n">
        <v>0.8434</v>
      </c>
    </row>
    <row r="93">
      <c r="A93" t="inlineStr">
        <is>
          <t>LM00092</t>
        </is>
      </c>
      <c r="B93" t="inlineStr">
        <is>
          <t>Street vending as urban inhabitation: materialities, epistemes, and city-making in Karachi and Mumbai</t>
        </is>
      </c>
      <c r="C93" t="n">
        <v>2026</v>
      </c>
      <c r="D93" t="inlineStr">
        <is>
          <t>Aseela Haque; Saanchi Saxena</t>
        </is>
      </c>
      <c r="E93" t="inlineStr">
        <is>
          <t>City</t>
        </is>
      </c>
      <c r="F93" t="inlineStr">
        <is>
          <t>article</t>
        </is>
      </c>
      <c r="G93" t="inlineStr">
        <is>
          <t>10.1080/13604813.2025.2601408</t>
        </is>
      </c>
      <c r="H93" t="inlineStr">
        <is>
          <t>W7119150781</t>
        </is>
      </c>
      <c r="I93" t="inlineStr">
        <is>
          <t>https://doi.org/10.1080/13604813.2025.2601408</t>
        </is>
      </c>
      <c r="J93" t="inlineStr">
        <is>
          <t>https://www.tandfonline.com/doi/pdf/10.1080/13604813.2025.2601408?needAccess=true</t>
        </is>
      </c>
      <c r="K93" t="n">
        <v>1</v>
      </c>
      <c r="L93" t="inlineStr">
        <is>
          <t>A</t>
        </is>
      </c>
      <c r="M93" t="inlineStr">
        <is>
          <t>A9</t>
        </is>
      </c>
      <c r="N93" t="inlineStr"/>
      <c r="O93" t="inlineStr">
        <is>
          <t>India; Karachi; Mumbai; Pakistan</t>
        </is>
      </c>
      <c r="P93" t="inlineStr">
        <is>
          <t>South Asia</t>
        </is>
      </c>
      <c r="Q93" t="inlineStr">
        <is>
          <t>Y</t>
        </is>
      </c>
      <c r="R93" t="inlineStr"/>
      <c r="S93" t="inlineStr"/>
      <c r="T93" t="inlineStr">
        <is>
          <t>qualitative</t>
        </is>
      </c>
      <c r="U93" t="inlineStr"/>
      <c r="V93" t="inlineStr">
        <is>
          <t>Y</t>
        </is>
      </c>
      <c r="W93" t="inlineStr">
        <is>
          <t>auto: Thinking with STS scholarship and Southern urbanism, we argue for a renewed focus on materialising street vending and demonstrate that street vending constitutes a crucial form of city-making in the South.</t>
        </is>
      </c>
      <c r="X93" t="inlineStr">
        <is>
          <t>auto: We contend that paying attention to this dynamic relation can foreground the often overlooked urban knowledge constituting the city’s margins.</t>
        </is>
      </c>
      <c r="Y93" t="inlineStr"/>
      <c r="Z93" t="inlineStr">
        <is>
          <t>medium</t>
        </is>
      </c>
      <c r="AA93" t="inlineStr">
        <is>
          <t>A9:india</t>
        </is>
      </c>
      <c r="AB93" t="inlineStr"/>
      <c r="AC93" t="n">
        <v>13.804</v>
      </c>
    </row>
    <row r="94">
      <c r="A94" t="inlineStr">
        <is>
          <t>LM00093</t>
        </is>
      </c>
      <c r="B94" t="inlineStr">
        <is>
          <t>Public Space Privatization: A Catalyst for Urban Spaces Gentrification</t>
        </is>
      </c>
      <c r="C94" t="n">
        <v>2026</v>
      </c>
      <c r="D94" t="inlineStr">
        <is>
          <t>Mariem Ali Abdeldayem; Ayman Mohamed Assem; Karim Bayoumi Ibrahim</t>
        </is>
      </c>
      <c r="E94" t="inlineStr">
        <is>
          <t>ARCHive-SR</t>
        </is>
      </c>
      <c r="F94" t="inlineStr">
        <is>
          <t>article</t>
        </is>
      </c>
      <c r="G94" t="inlineStr">
        <is>
          <t>10.21625/archive-sr.v10i1.1252</t>
        </is>
      </c>
      <c r="H94" t="inlineStr">
        <is>
          <t>W7127045585</t>
        </is>
      </c>
      <c r="I94" t="inlineStr">
        <is>
          <t>https://doi.org/10.21625/archive-sr.v10i1.1252</t>
        </is>
      </c>
      <c r="J94" t="inlineStr">
        <is>
          <t>https://press.ierek.com/index.php/ARChive/article/download/1252/1410</t>
        </is>
      </c>
      <c r="K94" t="n">
        <v>1</v>
      </c>
      <c r="L94" t="inlineStr">
        <is>
          <t>A</t>
        </is>
      </c>
      <c r="M94" t="inlineStr">
        <is>
          <t>A9</t>
        </is>
      </c>
      <c r="N94" t="inlineStr"/>
      <c r="O94" t="inlineStr"/>
      <c r="P94" t="inlineStr">
        <is>
          <t>Not place-specific</t>
        </is>
      </c>
      <c r="Q94" t="inlineStr"/>
      <c r="R94" t="inlineStr"/>
      <c r="S94" t="inlineStr"/>
      <c r="T94" t="inlineStr">
        <is>
          <t>review</t>
        </is>
      </c>
      <c r="U94" t="inlineStr"/>
      <c r="V94" t="inlineStr">
        <is>
          <t>Y</t>
        </is>
      </c>
      <c r="W94" t="inlineStr">
        <is>
          <t>auto: This paper aims to uncover how privatization of public spaces contributes to the gentrification of the public space itself by proposing a model to measure the level of publicness and gentrification of the public spaces.</t>
        </is>
      </c>
      <c r="X94" t="inlineStr"/>
      <c r="Y94" t="inlineStr"/>
      <c r="Z94" t="inlineStr">
        <is>
          <t>high</t>
        </is>
      </c>
      <c r="AA94" t="inlineStr">
        <is>
          <t>A9:recent</t>
        </is>
      </c>
      <c r="AB94" t="inlineStr"/>
      <c r="AC94" t="n">
        <v>13.804</v>
      </c>
    </row>
    <row r="95">
      <c r="A95" t="inlineStr">
        <is>
          <t>LM00094</t>
        </is>
      </c>
      <c r="B95" t="inlineStr">
        <is>
          <t>The digital city and the struggle for urban public spaces: A pragmatic rethinking of public space and digital rights in a postliberal urban future</t>
        </is>
      </c>
      <c r="C95" t="n">
        <v>2026</v>
      </c>
      <c r="D95" t="inlineStr">
        <is>
          <t>Ehsan Dorostkar; Mahsa Najarsadeghi</t>
        </is>
      </c>
      <c r="E95" t="inlineStr">
        <is>
          <t>Urban Governance</t>
        </is>
      </c>
      <c r="F95" t="inlineStr">
        <is>
          <t>article</t>
        </is>
      </c>
      <c r="G95" t="inlineStr">
        <is>
          <t>10.1016/j.ugj.2026.05.004</t>
        </is>
      </c>
      <c r="H95" t="inlineStr">
        <is>
          <t>W7164205373</t>
        </is>
      </c>
      <c r="I95" t="inlineStr">
        <is>
          <t>https://doi.org/10.1016/j.ugj.2026.05.004</t>
        </is>
      </c>
      <c r="J95" t="inlineStr">
        <is>
          <t>https://doi.org/10.1016/j.ugj.2026.05.004</t>
        </is>
      </c>
      <c r="K95" t="n">
        <v>1</v>
      </c>
      <c r="L95" t="inlineStr">
        <is>
          <t>A</t>
        </is>
      </c>
      <c r="M95" t="inlineStr">
        <is>
          <t>A9</t>
        </is>
      </c>
      <c r="N95" t="inlineStr"/>
      <c r="O95" t="inlineStr"/>
      <c r="P95" t="inlineStr">
        <is>
          <t>Not place-specific</t>
        </is>
      </c>
      <c r="Q95" t="inlineStr"/>
      <c r="R95" t="inlineStr"/>
      <c r="S95" t="inlineStr"/>
      <c r="T95" t="inlineStr">
        <is>
          <t>conceptual</t>
        </is>
      </c>
      <c r="U95" t="inlineStr"/>
      <c r="V95" t="inlineStr">
        <is>
          <t>Y</t>
        </is>
      </c>
      <c r="W95" t="inlineStr">
        <is>
          <t>auto: In light of neoliberalism theory, urban commons, and digital rights, this paper critically reflects on how cities are reconfiguring public spaces in the age of smart cities and data-driven government.</t>
        </is>
      </c>
      <c r="X95" t="inlineStr"/>
      <c r="Y95" t="inlineStr"/>
      <c r="Z95" t="inlineStr">
        <is>
          <t>high</t>
        </is>
      </c>
      <c r="AA95" t="inlineStr">
        <is>
          <t>A9:recent</t>
        </is>
      </c>
      <c r="AB95" t="inlineStr"/>
      <c r="AC95" t="n">
        <v>3.8105</v>
      </c>
    </row>
    <row r="96">
      <c r="A96" t="inlineStr">
        <is>
          <t>LM00095</t>
        </is>
      </c>
      <c r="B96" t="inlineStr">
        <is>
          <t>Publicness of Newly Redeveloped Public Spaces of Dhaka South City Corporation Area</t>
        </is>
      </c>
      <c r="C96" t="n">
        <v>2022</v>
      </c>
      <c r="D96" t="inlineStr">
        <is>
          <t>Sabrina Sultana; Adil Mohammed Khan; Md. Ashiqur Rahman</t>
        </is>
      </c>
      <c r="E96" t="inlineStr">
        <is>
          <t>Zenodo (CERN European Organization for Nuclear Research)</t>
        </is>
      </c>
      <c r="F96" t="inlineStr">
        <is>
          <t>article</t>
        </is>
      </c>
      <c r="G96" t="inlineStr">
        <is>
          <t>10.5281/zenodo.6610724</t>
        </is>
      </c>
      <c r="H96" t="inlineStr">
        <is>
          <t>W4281643606</t>
        </is>
      </c>
      <c r="I96" t="inlineStr">
        <is>
          <t>https://doi.org/10.5281/zenodo.6610724</t>
        </is>
      </c>
      <c r="J96" t="inlineStr">
        <is>
          <t>https://zenodo.org/record/6610725</t>
        </is>
      </c>
      <c r="K96" t="n">
        <v>1</v>
      </c>
      <c r="L96" t="inlineStr">
        <is>
          <t>A</t>
        </is>
      </c>
      <c r="M96" t="inlineStr">
        <is>
          <t>A9</t>
        </is>
      </c>
      <c r="N96" t="inlineStr"/>
      <c r="O96" t="inlineStr">
        <is>
          <t>Dhaka</t>
        </is>
      </c>
      <c r="P96" t="inlineStr">
        <is>
          <t>South Asia</t>
        </is>
      </c>
      <c r="Q96" t="inlineStr"/>
      <c r="R96" t="inlineStr"/>
      <c r="S96" t="inlineStr"/>
      <c r="T96" t="inlineStr">
        <is>
          <t>conceptual</t>
        </is>
      </c>
      <c r="U96" t="inlineStr"/>
      <c r="V96" t="inlineStr"/>
      <c r="W96" t="inlineStr">
        <is>
          <t>auto: This research has explored the competency of redeveloped Public Spaces in Dhaka South City Corporation (DSCC).</t>
        </is>
      </c>
      <c r="X96" t="inlineStr"/>
      <c r="Y96" t="inlineStr"/>
      <c r="Z96" t="inlineStr">
        <is>
          <t>high</t>
        </is>
      </c>
      <c r="AA96" t="inlineStr">
        <is>
          <t>A9:india; A9:recent</t>
        </is>
      </c>
      <c r="AB96" t="inlineStr"/>
      <c r="AC96" t="n">
        <v>0.4924</v>
      </c>
    </row>
    <row r="97">
      <c r="A97" t="inlineStr">
        <is>
          <t>LM00096</t>
        </is>
      </c>
      <c r="B97" t="inlineStr">
        <is>
          <t>Public space and livelihood security in the urban economy: the case of street vendors in Mumbai</t>
        </is>
      </c>
      <c r="C97" t="n">
        <v>2014</v>
      </c>
      <c r="D97" t="inlineStr">
        <is>
          <t>Debdulal Saha</t>
        </is>
      </c>
      <c r="E97" t="inlineStr"/>
      <c r="F97" t="inlineStr">
        <is>
          <t>article</t>
        </is>
      </c>
      <c r="G97" t="inlineStr">
        <is>
          <t>10.4324/9781315780139-13</t>
        </is>
      </c>
      <c r="H97" t="inlineStr">
        <is>
          <t>W3167123494</t>
        </is>
      </c>
      <c r="I97" t="inlineStr">
        <is>
          <t>https://doi.org/10.4324/9781315780139-13</t>
        </is>
      </c>
      <c r="J97" t="inlineStr"/>
      <c r="K97" t="n">
        <v>0</v>
      </c>
      <c r="L97" t="inlineStr">
        <is>
          <t>A</t>
        </is>
      </c>
      <c r="M97" t="inlineStr">
        <is>
          <t>A9</t>
        </is>
      </c>
      <c r="N97" t="inlineStr"/>
      <c r="O97" t="inlineStr">
        <is>
          <t>Mumbai</t>
        </is>
      </c>
      <c r="P97" t="inlineStr">
        <is>
          <t>South Asia</t>
        </is>
      </c>
      <c r="Q97" t="inlineStr">
        <is>
          <t>Y</t>
        </is>
      </c>
      <c r="R97" t="inlineStr"/>
      <c r="S97" t="inlineStr"/>
      <c r="T97" t="inlineStr">
        <is>
          <t>unclear</t>
        </is>
      </c>
      <c r="U97" t="inlineStr"/>
      <c r="V97" t="inlineStr"/>
      <c r="W97" t="inlineStr"/>
      <c r="X97" t="inlineStr"/>
      <c r="Y97" t="inlineStr"/>
      <c r="Z97" t="inlineStr">
        <is>
          <t>low</t>
        </is>
      </c>
      <c r="AA97" t="inlineStr">
        <is>
          <t>A9:india</t>
        </is>
      </c>
      <c r="AB97" t="inlineStr"/>
      <c r="AC97" t="n">
        <v>0</v>
      </c>
    </row>
    <row r="98">
      <c r="A98" t="inlineStr">
        <is>
          <t>LM00097</t>
        </is>
      </c>
      <c r="B98" t="inlineStr">
        <is>
          <t>The Mundane and (Extra)Ordinary Public Spaces in India: Examining the Impact of the COVID-19 Pandemic Through an Everyday Lens in Chennai City</t>
        </is>
      </c>
      <c r="C98" t="n">
        <v>2021</v>
      </c>
      <c r="D98" t="inlineStr">
        <is>
          <t>Lakshmi Priya Rajendran; Aamstrong Anjumuthu</t>
        </is>
      </c>
      <c r="E98" t="inlineStr">
        <is>
          <t>Policy Press eBooks</t>
        </is>
      </c>
      <c r="F98" t="inlineStr">
        <is>
          <t>book-chapter</t>
        </is>
      </c>
      <c r="G98" t="inlineStr">
        <is>
          <t>10.1332/policypress/9781529219005.003.0014</t>
        </is>
      </c>
      <c r="H98" t="inlineStr">
        <is>
          <t>W4285415740</t>
        </is>
      </c>
      <c r="I98" t="inlineStr">
        <is>
          <t>https://doi.org/10.1332/policypress/9781529219005.003.0014</t>
        </is>
      </c>
      <c r="J98" t="inlineStr"/>
      <c r="K98" t="n">
        <v>0</v>
      </c>
      <c r="L98" t="inlineStr">
        <is>
          <t>A</t>
        </is>
      </c>
      <c r="M98" t="inlineStr">
        <is>
          <t>A9</t>
        </is>
      </c>
      <c r="N98" t="inlineStr"/>
      <c r="O98" t="inlineStr">
        <is>
          <t>Chennai; India</t>
        </is>
      </c>
      <c r="P98" t="inlineStr">
        <is>
          <t>South Asia</t>
        </is>
      </c>
      <c r="Q98" t="inlineStr">
        <is>
          <t>Y</t>
        </is>
      </c>
      <c r="R98" t="inlineStr"/>
      <c r="S98" t="inlineStr"/>
      <c r="T98" t="inlineStr">
        <is>
          <t>qualitative</t>
        </is>
      </c>
      <c r="U98" t="inlineStr"/>
      <c r="V98" t="inlineStr"/>
      <c r="W98" t="inlineStr">
        <is>
          <t>auto: Using a socio-spatial lens, this chapter critically reflects on the role of everyday public spaces in Indian cities during the pandemic and how they potentially provide revealing insights on power relations and urban inequalities.</t>
        </is>
      </c>
      <c r="X98" t="inlineStr"/>
      <c r="Y98" t="inlineStr"/>
      <c r="Z98" t="inlineStr">
        <is>
          <t>high</t>
        </is>
      </c>
      <c r="AA98" t="inlineStr">
        <is>
          <t>A9:india</t>
        </is>
      </c>
      <c r="AB98" t="inlineStr"/>
      <c r="AC98" t="n">
        <v>0</v>
      </c>
    </row>
    <row r="99">
      <c r="A99" t="inlineStr">
        <is>
          <t>LM00098</t>
        </is>
      </c>
      <c r="B99" t="inlineStr">
        <is>
          <t>Compendium of Dimensions for Evaluating Publicness of Public Spaces</t>
        </is>
      </c>
      <c r="C99" t="n">
        <v>2022</v>
      </c>
      <c r="D99" t="inlineStr">
        <is>
          <t>Simranpreet Kaur; Pankaj Chhabra</t>
        </is>
      </c>
      <c r="E99" t="inlineStr">
        <is>
          <t>Civil Engineering and Architecture</t>
        </is>
      </c>
      <c r="F99" t="inlineStr">
        <is>
          <t>article</t>
        </is>
      </c>
      <c r="G99" t="inlineStr">
        <is>
          <t>10.13189/cea.2023.110113</t>
        </is>
      </c>
      <c r="H99" t="inlineStr">
        <is>
          <t>W4311260560</t>
        </is>
      </c>
      <c r="I99" t="inlineStr">
        <is>
          <t>https://doi.org/10.13189/cea.2023.110113</t>
        </is>
      </c>
      <c r="J99" t="inlineStr">
        <is>
          <t>http://www.hrpub.org/download/20221130/CEA13-14829076.pdf</t>
        </is>
      </c>
      <c r="K99" t="n">
        <v>0</v>
      </c>
      <c r="L99" t="inlineStr">
        <is>
          <t>A</t>
        </is>
      </c>
      <c r="M99" t="inlineStr">
        <is>
          <t>A9</t>
        </is>
      </c>
      <c r="N99" t="inlineStr"/>
      <c r="O99" t="inlineStr">
        <is>
          <t>India</t>
        </is>
      </c>
      <c r="P99" t="inlineStr">
        <is>
          <t>South Asia</t>
        </is>
      </c>
      <c r="Q99" t="inlineStr">
        <is>
          <t>Y</t>
        </is>
      </c>
      <c r="R99" t="inlineStr"/>
      <c r="S99" t="inlineStr"/>
      <c r="T99" t="inlineStr">
        <is>
          <t>conceptual</t>
        </is>
      </c>
      <c r="U99" t="inlineStr"/>
      <c r="V99" t="inlineStr"/>
      <c r="W99" t="inlineStr">
        <is>
          <t>auto: This research paper has been extracted from the larger study on privatized public spaces addressing the questions on defining characteristics of good public space, and some measurable parameters to evaluate these public spaces.</t>
        </is>
      </c>
      <c r="X99" t="inlineStr"/>
      <c r="Y99" t="inlineStr"/>
      <c r="Z99" t="inlineStr">
        <is>
          <t>high</t>
        </is>
      </c>
      <c r="AA99" t="inlineStr">
        <is>
          <t>A9:recent</t>
        </is>
      </c>
      <c r="AB99" t="inlineStr"/>
      <c r="AC99" t="n">
        <v>0</v>
      </c>
    </row>
    <row r="100">
      <c r="A100" t="inlineStr">
        <is>
          <t>LM00099</t>
        </is>
      </c>
      <c r="B100" t="inlineStr">
        <is>
          <t>Space, the right to the city and informality</t>
        </is>
      </c>
      <c r="C100" t="n">
        <v>2023</v>
      </c>
      <c r="D100" t="inlineStr">
        <is>
          <t>Lutfun Nahar Lata</t>
        </is>
      </c>
      <c r="E100" t="inlineStr">
        <is>
          <t>Routledge eBooks</t>
        </is>
      </c>
      <c r="F100" t="inlineStr">
        <is>
          <t>book-chapter</t>
        </is>
      </c>
      <c r="G100" t="inlineStr">
        <is>
          <t>10.4324/9781003350095-2</t>
        </is>
      </c>
      <c r="H100" t="inlineStr">
        <is>
          <t>W4317036532</t>
        </is>
      </c>
      <c r="I100" t="inlineStr">
        <is>
          <t>https://doi.org/10.4324/9781003350095-2</t>
        </is>
      </c>
      <c r="J100" t="inlineStr"/>
      <c r="K100" t="n">
        <v>0</v>
      </c>
      <c r="L100" t="inlineStr">
        <is>
          <t>A</t>
        </is>
      </c>
      <c r="M100" t="inlineStr">
        <is>
          <t>A9</t>
        </is>
      </c>
      <c r="N100" t="inlineStr"/>
      <c r="O100" t="inlineStr">
        <is>
          <t>Dhaka</t>
        </is>
      </c>
      <c r="P100" t="inlineStr">
        <is>
          <t>South Asia</t>
        </is>
      </c>
      <c r="Q100" t="inlineStr"/>
      <c r="R100" t="inlineStr"/>
      <c r="S100" t="inlineStr"/>
      <c r="T100" t="inlineStr">
        <is>
          <t>conceptual</t>
        </is>
      </c>
      <c r="U100" t="inlineStr"/>
      <c r="V100" t="inlineStr"/>
      <c r="W100" t="inlineStr">
        <is>
          <t>auto: This chapter develops a critical framework to examine urban space and informal work in Global South cities.</t>
        </is>
      </c>
      <c r="X100" t="inlineStr"/>
      <c r="Y100" t="inlineStr"/>
      <c r="Z100" t="inlineStr">
        <is>
          <t>high</t>
        </is>
      </c>
      <c r="AA100" t="inlineStr">
        <is>
          <t>A9:india</t>
        </is>
      </c>
      <c r="AB100" t="inlineStr"/>
      <c r="AC100" t="n">
        <v>0</v>
      </c>
    </row>
    <row r="101">
      <c r="A101" t="inlineStr">
        <is>
          <t>LM00100</t>
        </is>
      </c>
      <c r="B101" t="inlineStr">
        <is>
          <t>Access to Public Spaces in Indian Cities: An Opportunistic Model</t>
        </is>
      </c>
      <c r="C101" t="n">
        <v>2023</v>
      </c>
      <c r="D101" t="inlineStr">
        <is>
          <t>Archana Gaikwad; Utpal Sharma</t>
        </is>
      </c>
      <c r="E101" t="inlineStr">
        <is>
          <t>Routledge eBooks</t>
        </is>
      </c>
      <c r="F101" t="inlineStr">
        <is>
          <t>book-chapter</t>
        </is>
      </c>
      <c r="G101" t="inlineStr">
        <is>
          <t>10.4324/9781003342441-67</t>
        </is>
      </c>
      <c r="H101" t="inlineStr">
        <is>
          <t>W4366270278</t>
        </is>
      </c>
      <c r="I101" t="inlineStr">
        <is>
          <t>https://doi.org/10.4324/9781003342441-67</t>
        </is>
      </c>
      <c r="J101" t="inlineStr"/>
      <c r="K101" t="n">
        <v>0</v>
      </c>
      <c r="L101" t="inlineStr">
        <is>
          <t>A</t>
        </is>
      </c>
      <c r="M101" t="inlineStr">
        <is>
          <t>A9</t>
        </is>
      </c>
      <c r="N101" t="inlineStr"/>
      <c r="O101" t="inlineStr">
        <is>
          <t>Ahmedabad; Bangalore; India; Mumbai; Pune</t>
        </is>
      </c>
      <c r="P101" t="inlineStr">
        <is>
          <t>South Asia</t>
        </is>
      </c>
      <c r="Q101" t="inlineStr">
        <is>
          <t>Y</t>
        </is>
      </c>
      <c r="R101" t="inlineStr"/>
      <c r="S101" t="inlineStr"/>
      <c r="T101" t="inlineStr">
        <is>
          <t>conceptual</t>
        </is>
      </c>
      <c r="U101" t="inlineStr"/>
      <c r="V101" t="inlineStr"/>
      <c r="W101" t="inlineStr">
        <is>
          <t>auto: This paper first discusses the different meanings public spaces carry and various models used to provide public spaces across the world and then it demonstrates how public spaces are provided in Indian cities using opportunistic model presenting case of Ahmedabad, Bangalore, Mumbai and Pune.</t>
        </is>
      </c>
      <c r="X101" t="inlineStr">
        <is>
          <t>auto: Most of the Indian cities lack sufficient provision of public spaces compared to other cities in the world.</t>
        </is>
      </c>
      <c r="Y101" t="inlineStr"/>
      <c r="Z101" t="inlineStr">
        <is>
          <t>high</t>
        </is>
      </c>
      <c r="AA101" t="inlineStr">
        <is>
          <t>A9:india</t>
        </is>
      </c>
      <c r="AB101" t="inlineStr"/>
      <c r="AC101" t="n">
        <v>0</v>
      </c>
    </row>
    <row r="102">
      <c r="A102" t="inlineStr">
        <is>
          <t>LM00101</t>
        </is>
      </c>
      <c r="B102" t="inlineStr">
        <is>
          <t>Commoning and Territoriality in the Public Space “Plasma” of Historical Cities: Investigating Emplaced Network Dynamics in Bhaktapur, Kathmandu Valley, Nepal</t>
        </is>
      </c>
      <c r="C102" t="n">
        <v>2023</v>
      </c>
      <c r="D102" t="inlineStr">
        <is>
          <t>Shyam Sunder Kawan; Manfredo Manfredini; Haisong Wang</t>
        </is>
      </c>
      <c r="E102" t="inlineStr">
        <is>
          <t>Lecture notes in civil engineering</t>
        </is>
      </c>
      <c r="F102" t="inlineStr">
        <is>
          <t>conference-paper</t>
        </is>
      </c>
      <c r="G102" t="inlineStr">
        <is>
          <t>10.1007/978-981-99-1403-6_16</t>
        </is>
      </c>
      <c r="H102" t="inlineStr">
        <is>
          <t>W4382120162</t>
        </is>
      </c>
      <c r="I102" t="inlineStr">
        <is>
          <t>https://doi.org/10.1007/978-981-99-1403-6_16</t>
        </is>
      </c>
      <c r="J102" t="inlineStr"/>
      <c r="K102" t="n">
        <v>0</v>
      </c>
      <c r="L102" t="inlineStr">
        <is>
          <t>A</t>
        </is>
      </c>
      <c r="M102" t="inlineStr">
        <is>
          <t>A9</t>
        </is>
      </c>
      <c r="N102" t="inlineStr"/>
      <c r="O102" t="inlineStr">
        <is>
          <t>Kathmandu; Nepal</t>
        </is>
      </c>
      <c r="P102" t="inlineStr">
        <is>
          <t>South Asia</t>
        </is>
      </c>
      <c r="Q102" t="inlineStr"/>
      <c r="R102" t="inlineStr"/>
      <c r="S102" t="inlineStr"/>
      <c r="T102" t="inlineStr">
        <is>
          <t>unclear</t>
        </is>
      </c>
      <c r="U102" t="inlineStr"/>
      <c r="V102" t="inlineStr"/>
      <c r="W102" t="inlineStr"/>
      <c r="X102" t="inlineStr"/>
      <c r="Y102" t="inlineStr"/>
      <c r="Z102" t="inlineStr">
        <is>
          <t>low</t>
        </is>
      </c>
      <c r="AA102" t="inlineStr">
        <is>
          <t>A9:india</t>
        </is>
      </c>
      <c r="AB102" t="inlineStr"/>
      <c r="AC102" t="n">
        <v>0</v>
      </c>
    </row>
    <row r="103">
      <c r="A103" t="inlineStr">
        <is>
          <t>LM00102</t>
        </is>
      </c>
      <c r="B103" t="inlineStr">
        <is>
          <t>Segregated Public Space and the Right to the City</t>
        </is>
      </c>
      <c r="C103" t="n">
        <v>2023</v>
      </c>
      <c r="D103" t="inlineStr"/>
      <c r="E103" t="inlineStr">
        <is>
          <t>Berghahn Books</t>
        </is>
      </c>
      <c r="F103" t="inlineStr">
        <is>
          <t>book-chapter</t>
        </is>
      </c>
      <c r="G103" t="inlineStr">
        <is>
          <t>10.2307/jj.5590558.12</t>
        </is>
      </c>
      <c r="H103" t="inlineStr">
        <is>
          <t>W4385626213</t>
        </is>
      </c>
      <c r="I103" t="inlineStr">
        <is>
          <t>https://doi.org/10.2307/jj.5590558.12</t>
        </is>
      </c>
      <c r="J103" t="inlineStr"/>
      <c r="K103" t="n">
        <v>0</v>
      </c>
      <c r="L103" t="inlineStr">
        <is>
          <t>A</t>
        </is>
      </c>
      <c r="M103" t="inlineStr">
        <is>
          <t>A9</t>
        </is>
      </c>
      <c r="N103" t="inlineStr"/>
      <c r="O103" t="inlineStr"/>
      <c r="P103" t="inlineStr">
        <is>
          <t>Not place-specific</t>
        </is>
      </c>
      <c r="Q103" t="inlineStr"/>
      <c r="R103" t="inlineStr"/>
      <c r="S103" t="inlineStr"/>
      <c r="T103" t="inlineStr">
        <is>
          <t>unclear</t>
        </is>
      </c>
      <c r="U103" t="inlineStr"/>
      <c r="V103" t="inlineStr"/>
      <c r="W103" t="inlineStr"/>
      <c r="X103" t="inlineStr"/>
      <c r="Y103" t="inlineStr"/>
      <c r="Z103" t="inlineStr">
        <is>
          <t>low</t>
        </is>
      </c>
      <c r="AA103" t="inlineStr">
        <is>
          <t>A9:recent</t>
        </is>
      </c>
      <c r="AB103" t="inlineStr"/>
      <c r="AC103" t="n">
        <v>0</v>
      </c>
    </row>
    <row r="104">
      <c r="A104" t="inlineStr">
        <is>
          <t>LM00103</t>
        </is>
      </c>
      <c r="B104" t="inlineStr">
        <is>
          <t>Elton Chan. The Last Urban Frontier. Commodification of Public Space and the Right to the City in Insurgent Hong Kong. Lund University, 2023. PhD Thesis.</t>
        </is>
      </c>
      <c r="C104" t="n">
        <v>2023</v>
      </c>
      <c r="D104" t="inlineStr">
        <is>
          <t>Miguel A. Martínez</t>
        </is>
      </c>
      <c r="E104" t="inlineStr">
        <is>
          <t>Sociologisk Forskning</t>
        </is>
      </c>
      <c r="F104" t="inlineStr">
        <is>
          <t>article</t>
        </is>
      </c>
      <c r="G104" t="inlineStr">
        <is>
          <t>10.37062/sf.60.25487</t>
        </is>
      </c>
      <c r="H104" t="inlineStr">
        <is>
          <t>W4387972348</t>
        </is>
      </c>
      <c r="I104" t="inlineStr">
        <is>
          <t>https://doi.org/10.37062/sf.60.25487</t>
        </is>
      </c>
      <c r="J104" t="inlineStr">
        <is>
          <t>https://sociologiskforskning.se/sf/article/download/25487/22616</t>
        </is>
      </c>
      <c r="K104" t="n">
        <v>0</v>
      </c>
      <c r="L104" t="inlineStr">
        <is>
          <t>A</t>
        </is>
      </c>
      <c r="M104" t="inlineStr">
        <is>
          <t>A9</t>
        </is>
      </c>
      <c r="N104" t="inlineStr"/>
      <c r="O104" t="inlineStr">
        <is>
          <t>China; Hong Kong; United Kingdom</t>
        </is>
      </c>
      <c r="P104" t="inlineStr">
        <is>
          <t>Multi-region</t>
        </is>
      </c>
      <c r="Q104" t="inlineStr"/>
      <c r="R104" t="inlineStr"/>
      <c r="S104" t="inlineStr"/>
      <c r="T104" t="inlineStr">
        <is>
          <t>qualitative</t>
        </is>
      </c>
      <c r="U104" t="inlineStr"/>
      <c r="V104" t="inlineStr"/>
      <c r="W104" t="inlineStr">
        <is>
          <t>auto: This book is a doctoral dissertation, including a Kappa and four papers that are either already published or in the process of being published soon.In methodological terms, the author conducted a multi-sited and multi-scalar ethnography.This was combined with the analysis of 70 documents, 11 in-d…</t>
        </is>
      </c>
      <c r="X104" t="inlineStr"/>
      <c r="Y104" t="inlineStr"/>
      <c r="Z104" t="inlineStr">
        <is>
          <t>high</t>
        </is>
      </c>
      <c r="AA104" t="inlineStr">
        <is>
          <t>A9:recent</t>
        </is>
      </c>
      <c r="AB104" t="inlineStr"/>
      <c r="AC104" t="n">
        <v>0</v>
      </c>
    </row>
    <row r="105">
      <c r="A105" t="inlineStr">
        <is>
          <t>LM00104</t>
        </is>
      </c>
      <c r="B105" t="inlineStr">
        <is>
          <t>Chapter 5. Segregated Public Space and the Right to the City</t>
        </is>
      </c>
      <c r="C105" t="n">
        <v>2023</v>
      </c>
      <c r="D105" t="inlineStr">
        <is>
          <t>Anne Christine Trémon</t>
        </is>
      </c>
      <c r="E105" t="inlineStr">
        <is>
          <t>Berghahn Books</t>
        </is>
      </c>
      <c r="F105" t="inlineStr">
        <is>
          <t>book-chapter</t>
        </is>
      </c>
      <c r="G105" t="inlineStr">
        <is>
          <t>10.1515/9781800739987-010</t>
        </is>
      </c>
      <c r="H105" t="inlineStr">
        <is>
          <t>W4388772695</t>
        </is>
      </c>
      <c r="I105" t="inlineStr">
        <is>
          <t>https://doi.org/10.1515/9781800739987-010</t>
        </is>
      </c>
      <c r="J105" t="inlineStr">
        <is>
          <t>https://www.degruyter.com/document/doi/10.1515/9781800739987-010/pdf</t>
        </is>
      </c>
      <c r="K105" t="n">
        <v>0</v>
      </c>
      <c r="L105" t="inlineStr">
        <is>
          <t>A</t>
        </is>
      </c>
      <c r="M105" t="inlineStr">
        <is>
          <t>A9</t>
        </is>
      </c>
      <c r="N105" t="inlineStr"/>
      <c r="O105" t="inlineStr">
        <is>
          <t>China</t>
        </is>
      </c>
      <c r="P105" t="inlineStr">
        <is>
          <t>China &amp; East Asia</t>
        </is>
      </c>
      <c r="Q105" t="inlineStr"/>
      <c r="R105" t="inlineStr"/>
      <c r="S105" t="inlineStr"/>
      <c r="T105" t="inlineStr">
        <is>
          <t>conceptual</t>
        </is>
      </c>
      <c r="U105" t="inlineStr"/>
      <c r="V105" t="inlineStr"/>
      <c r="W105" t="inlineStr">
        <is>
          <t>auto: With urbanization, native villagers have been faced with a fl ow of strangers into their former village space, a phenomenon to which they have contributed by renting apartments to migrants.Native villagers also face increased intervention from higher administrative bodies, as, once urbanized, the…</t>
        </is>
      </c>
      <c r="X105" t="inlineStr"/>
      <c r="Y105" t="inlineStr"/>
      <c r="Z105" t="inlineStr">
        <is>
          <t>high</t>
        </is>
      </c>
      <c r="AA105" t="inlineStr">
        <is>
          <t>A9:recent</t>
        </is>
      </c>
      <c r="AB105" t="inlineStr"/>
      <c r="AC105" t="n">
        <v>0</v>
      </c>
    </row>
    <row r="106">
      <c r="A106" t="inlineStr">
        <is>
          <t>LM00105</t>
        </is>
      </c>
      <c r="B106" t="inlineStr">
        <is>
          <t>PRIVATISATION OF PUBLIC SPACE – CASE STUDY ZAGREB, CROATIA</t>
        </is>
      </c>
      <c r="C106" t="n">
        <v>2023</v>
      </c>
      <c r="D106" t="inlineStr">
        <is>
          <t>Antonio Nevescanin; Bartosz Marek Walczak</t>
        </is>
      </c>
      <c r="E106" t="inlineStr">
        <is>
          <t>space&amp;FORM</t>
        </is>
      </c>
      <c r="F106" t="inlineStr">
        <is>
          <t>article</t>
        </is>
      </c>
      <c r="G106" t="inlineStr">
        <is>
          <t>10.21005/pif.2023.56.c-06</t>
        </is>
      </c>
      <c r="H106" t="inlineStr">
        <is>
          <t>W4390105957</t>
        </is>
      </c>
      <c r="I106" t="inlineStr">
        <is>
          <t>https://doi.org/10.21005/pif.2023.56.c-06</t>
        </is>
      </c>
      <c r="J106" t="inlineStr">
        <is>
          <t>https://doi.org/10.21005/pif.2023.56.c-06</t>
        </is>
      </c>
      <c r="K106" t="n">
        <v>0</v>
      </c>
      <c r="L106" t="inlineStr">
        <is>
          <t>A</t>
        </is>
      </c>
      <c r="M106" t="inlineStr">
        <is>
          <t>A9</t>
        </is>
      </c>
      <c r="N106" t="inlineStr"/>
      <c r="O106" t="inlineStr">
        <is>
          <t>Croatia; European; Zagreb</t>
        </is>
      </c>
      <c r="P106" t="inlineStr">
        <is>
          <t>Global North</t>
        </is>
      </c>
      <c r="Q106" t="inlineStr"/>
      <c r="R106" t="inlineStr"/>
      <c r="S106" t="inlineStr"/>
      <c r="T106" t="inlineStr">
        <is>
          <t>qualitative</t>
        </is>
      </c>
      <c r="U106" t="inlineStr"/>
      <c r="V106" t="inlineStr"/>
      <c r="W106" t="inlineStr">
        <is>
          <t>auto: The article explores the topic of privatization of public space occurring in the process of contemporary urban planning policies, on the example of city of Zagreb in Croatia.</t>
        </is>
      </c>
      <c r="X106" t="inlineStr"/>
      <c r="Y106" t="inlineStr"/>
      <c r="Z106" t="inlineStr">
        <is>
          <t>high</t>
        </is>
      </c>
      <c r="AA106" t="inlineStr">
        <is>
          <t>A9:recent</t>
        </is>
      </c>
      <c r="AB106" t="inlineStr"/>
      <c r="AC106" t="n">
        <v>0</v>
      </c>
    </row>
    <row r="107">
      <c r="A107" t="inlineStr">
        <is>
          <t>LM00106</t>
        </is>
      </c>
      <c r="B107" t="inlineStr">
        <is>
          <t>Reclaiming Public Spaces in Post-pandemic India (Kolkata): Activist Theatre, Gender and a Resurgence of the Marginal</t>
        </is>
      </c>
      <c r="C107" t="n">
        <v>2024</v>
      </c>
      <c r="D107" t="inlineStr">
        <is>
          <t>AHVANA PAUL; Tamalika Roy; Sumit Mondal; S. C. Biswas</t>
        </is>
      </c>
      <c r="E107" t="inlineStr">
        <is>
          <t>Theatre Research International</t>
        </is>
      </c>
      <c r="F107" t="inlineStr">
        <is>
          <t>article</t>
        </is>
      </c>
      <c r="G107" t="inlineStr">
        <is>
          <t>10.1017/s0307883323000421</t>
        </is>
      </c>
      <c r="H107" t="inlineStr">
        <is>
          <t>W4392164286</t>
        </is>
      </c>
      <c r="I107" t="inlineStr">
        <is>
          <t>https://doi.org/10.1017/s0307883323000421</t>
        </is>
      </c>
      <c r="J107" t="inlineStr"/>
      <c r="K107" t="n">
        <v>0</v>
      </c>
      <c r="L107" t="inlineStr">
        <is>
          <t>A</t>
        </is>
      </c>
      <c r="M107" t="inlineStr">
        <is>
          <t>A9</t>
        </is>
      </c>
      <c r="N107" t="inlineStr"/>
      <c r="O107" t="inlineStr">
        <is>
          <t>India; Kolkata</t>
        </is>
      </c>
      <c r="P107" t="inlineStr">
        <is>
          <t>South Asia</t>
        </is>
      </c>
      <c r="Q107" t="inlineStr">
        <is>
          <t>Y</t>
        </is>
      </c>
      <c r="R107" t="inlineStr"/>
      <c r="S107" t="inlineStr"/>
      <c r="T107" t="inlineStr">
        <is>
          <t>unclear</t>
        </is>
      </c>
      <c r="U107" t="inlineStr"/>
      <c r="V107" t="inlineStr"/>
      <c r="W107" t="inlineStr">
        <is>
          <t>auto: The politics of our post-Covid times are expressed through various registers.</t>
        </is>
      </c>
      <c r="X107" t="inlineStr"/>
      <c r="Y107" t="inlineStr"/>
      <c r="Z107" t="inlineStr">
        <is>
          <t>high</t>
        </is>
      </c>
      <c r="AA107" t="inlineStr">
        <is>
          <t>A9:india</t>
        </is>
      </c>
      <c r="AB107" t="inlineStr"/>
      <c r="AC107" t="n">
        <v>0</v>
      </c>
    </row>
    <row r="108">
      <c r="A108" t="inlineStr">
        <is>
          <t>LM00107</t>
        </is>
      </c>
      <c r="B108" t="inlineStr">
        <is>
          <t>CRAFTING INDIAN MARKETS: THE ART OF BLURRING THE BOUNDARIES OF PUBLICNESS CASE OF DELHI</t>
        </is>
      </c>
      <c r="C108" t="n">
        <v>2024</v>
      </c>
      <c r="D108" t="inlineStr">
        <is>
          <t>Pankaj Chhabra; Simranpreet Kaur</t>
        </is>
      </c>
      <c r="E108" t="inlineStr">
        <is>
          <t>ShodhKosh Journal of Visual and Performing Arts</t>
        </is>
      </c>
      <c r="F108" t="inlineStr">
        <is>
          <t>article</t>
        </is>
      </c>
      <c r="G108" t="inlineStr">
        <is>
          <t>10.29121/shodhkosh.v5.i1.2024.1030</t>
        </is>
      </c>
      <c r="H108" t="inlineStr">
        <is>
          <t>W4399441939</t>
        </is>
      </c>
      <c r="I108" t="inlineStr">
        <is>
          <t>https://doi.org/10.29121/shodhkosh.v5.i1.2024.1030</t>
        </is>
      </c>
      <c r="J108" t="inlineStr">
        <is>
          <t>https://doi.org/10.29121/shodhkosh.v5.i1.2024.1030</t>
        </is>
      </c>
      <c r="K108" t="n">
        <v>0</v>
      </c>
      <c r="L108" t="inlineStr">
        <is>
          <t>A</t>
        </is>
      </c>
      <c r="M108" t="inlineStr">
        <is>
          <t>A9</t>
        </is>
      </c>
      <c r="N108" t="inlineStr"/>
      <c r="O108" t="inlineStr">
        <is>
          <t>Delhi; India</t>
        </is>
      </c>
      <c r="P108" t="inlineStr">
        <is>
          <t>South Asia</t>
        </is>
      </c>
      <c r="Q108" t="inlineStr">
        <is>
          <t>Y</t>
        </is>
      </c>
      <c r="R108" t="inlineStr">
        <is>
          <t>Y</t>
        </is>
      </c>
      <c r="S108" t="inlineStr"/>
      <c r="T108" t="inlineStr">
        <is>
          <t>review</t>
        </is>
      </c>
      <c r="U108" t="inlineStr"/>
      <c r="V108" t="inlineStr"/>
      <c r="W108" t="inlineStr">
        <is>
          <t>auto: This research paper delves to explore the nuanced dimensions of this phenomenon, shedding light on orchestrating transformation of ostensibly public spaces into privatized domains and the ensuing impact on the public realm.The central objective of this study is to initiate a meaningful dialogue w…</t>
        </is>
      </c>
      <c r="X108" t="inlineStr"/>
      <c r="Y108" t="inlineStr"/>
      <c r="Z108" t="inlineStr">
        <is>
          <t>high</t>
        </is>
      </c>
      <c r="AA108" t="inlineStr">
        <is>
          <t>A9:india; A9:recent</t>
        </is>
      </c>
      <c r="AB108" t="inlineStr"/>
      <c r="AC108" t="n">
        <v>0</v>
      </c>
    </row>
    <row r="109">
      <c r="A109" t="inlineStr">
        <is>
          <t>LM00108</t>
        </is>
      </c>
      <c r="B109" t="inlineStr">
        <is>
          <t>Beyond the public space tableau: Insurgent heritage and the right to the city in Bogotá</t>
        </is>
      </c>
      <c r="C109" t="n">
        <v>2023</v>
      </c>
      <c r="D109" t="inlineStr">
        <is>
          <t>Erich Frank Hellmer</t>
        </is>
      </c>
      <c r="E109" t="inlineStr">
        <is>
          <t>Alternautas</t>
        </is>
      </c>
      <c r="F109" t="inlineStr">
        <is>
          <t>article</t>
        </is>
      </c>
      <c r="G109" t="inlineStr">
        <is>
          <t>10.31273/an.v10i2.1442</t>
        </is>
      </c>
      <c r="H109" t="inlineStr">
        <is>
          <t>W4400562152</t>
        </is>
      </c>
      <c r="I109" t="inlineStr">
        <is>
          <t>https://doi.org/10.31273/an.v10i2.1442</t>
        </is>
      </c>
      <c r="J109" t="inlineStr">
        <is>
          <t>http://dx.doi.org/10.31273/an.v10i2.1442</t>
        </is>
      </c>
      <c r="K109" t="n">
        <v>0</v>
      </c>
      <c r="L109" t="inlineStr">
        <is>
          <t>A</t>
        </is>
      </c>
      <c r="M109" t="inlineStr">
        <is>
          <t>A9</t>
        </is>
      </c>
      <c r="N109" t="inlineStr"/>
      <c r="O109" t="inlineStr">
        <is>
          <t>Bogotá; Colombia</t>
        </is>
      </c>
      <c r="P109" t="inlineStr">
        <is>
          <t>Latin America</t>
        </is>
      </c>
      <c r="Q109" t="inlineStr"/>
      <c r="R109" t="inlineStr"/>
      <c r="S109" t="inlineStr"/>
      <c r="T109" t="inlineStr">
        <is>
          <t>qualitative</t>
        </is>
      </c>
      <c r="U109" t="inlineStr"/>
      <c r="V109" t="inlineStr"/>
      <c r="W109" t="inlineStr">
        <is>
          <t>auto: This paper explores how the right to the city is understood and practiced in relation to public space by contrasting two models of urban planning in Bogotá, Colombia.</t>
        </is>
      </c>
      <c r="X109" t="inlineStr"/>
      <c r="Y109" t="inlineStr"/>
      <c r="Z109" t="inlineStr">
        <is>
          <t>high</t>
        </is>
      </c>
      <c r="AA109" t="inlineStr">
        <is>
          <t>A9:recent</t>
        </is>
      </c>
      <c r="AB109" t="inlineStr"/>
      <c r="AC109" t="n">
        <v>0</v>
      </c>
    </row>
    <row r="110">
      <c r="A110" t="inlineStr">
        <is>
          <t>LM00109</t>
        </is>
      </c>
      <c r="B110" t="inlineStr">
        <is>
          <t>Grassroots Collectives Recover Public Space</t>
        </is>
      </c>
      <c r="C110" t="n">
        <v>2024</v>
      </c>
      <c r="D110" t="inlineStr">
        <is>
          <t>Megan Saltzman</t>
        </is>
      </c>
      <c r="E110" t="inlineStr">
        <is>
          <t>Hispanic urban studies</t>
        </is>
      </c>
      <c r="F110" t="inlineStr">
        <is>
          <t>book-chapter</t>
        </is>
      </c>
      <c r="G110" t="inlineStr">
        <is>
          <t>10.1007/978-3-031-57796-3_3</t>
        </is>
      </c>
      <c r="H110" t="inlineStr">
        <is>
          <t>W4403014504</t>
        </is>
      </c>
      <c r="I110" t="inlineStr">
        <is>
          <t>https://doi.org/10.1007/978-3-031-57796-3_3</t>
        </is>
      </c>
      <c r="J110" t="inlineStr"/>
      <c r="K110" t="n">
        <v>0</v>
      </c>
      <c r="L110" t="inlineStr">
        <is>
          <t>A</t>
        </is>
      </c>
      <c r="M110" t="inlineStr">
        <is>
          <t>A9</t>
        </is>
      </c>
      <c r="N110" t="inlineStr"/>
      <c r="O110" t="inlineStr"/>
      <c r="P110" t="inlineStr">
        <is>
          <t>Not place-specific</t>
        </is>
      </c>
      <c r="Q110" t="inlineStr"/>
      <c r="R110" t="inlineStr"/>
      <c r="S110" t="inlineStr"/>
      <c r="T110" t="inlineStr">
        <is>
          <t>unclear</t>
        </is>
      </c>
      <c r="U110" t="inlineStr"/>
      <c r="V110" t="inlineStr"/>
      <c r="W110" t="inlineStr"/>
      <c r="X110" t="inlineStr"/>
      <c r="Y110" t="inlineStr"/>
      <c r="Z110" t="inlineStr">
        <is>
          <t>low</t>
        </is>
      </c>
      <c r="AA110" t="inlineStr">
        <is>
          <t>A9:recent</t>
        </is>
      </c>
      <c r="AB110" t="inlineStr"/>
      <c r="AC110" t="n">
        <v>0</v>
      </c>
    </row>
    <row r="111">
      <c r="A111" t="inlineStr">
        <is>
          <t>LM00110</t>
        </is>
      </c>
      <c r="B111" t="inlineStr">
        <is>
          <t>Rethinking ‘Aesthetic Environments’ in Cities: Politics, Resistance, and Informal Street Vending in Kolkata, West Bengal</t>
        </is>
      </c>
      <c r="C111" t="n">
        <v>2025</v>
      </c>
      <c r="D111" t="inlineStr">
        <is>
          <t>Madhubarna Dhar; Amrita Sen; Archana Patnaik</t>
        </is>
      </c>
      <c r="E111" t="inlineStr">
        <is>
          <t>Proceedings of The World Conference on Social Sciences</t>
        </is>
      </c>
      <c r="F111" t="inlineStr">
        <is>
          <t>conference-paper</t>
        </is>
      </c>
      <c r="G111" t="inlineStr">
        <is>
          <t>10.33422/worldcss.v4i1.1213</t>
        </is>
      </c>
      <c r="H111" t="inlineStr">
        <is>
          <t>W4413581285</t>
        </is>
      </c>
      <c r="I111" t="inlineStr">
        <is>
          <t>https://doi.org/10.33422/worldcss.v4i1.1213</t>
        </is>
      </c>
      <c r="J111" t="inlineStr">
        <is>
          <t>https://www.dpublication.com/conference-proceedings/index.php/worldcss/article/download/1213/785</t>
        </is>
      </c>
      <c r="K111" t="n">
        <v>0</v>
      </c>
      <c r="L111" t="inlineStr">
        <is>
          <t>A</t>
        </is>
      </c>
      <c r="M111" t="inlineStr">
        <is>
          <t>A9</t>
        </is>
      </c>
      <c r="N111" t="inlineStr"/>
      <c r="O111" t="inlineStr">
        <is>
          <t>India; Kolkata; South Asia; West Bengal</t>
        </is>
      </c>
      <c r="P111" t="inlineStr">
        <is>
          <t>South Asia</t>
        </is>
      </c>
      <c r="Q111" t="inlineStr">
        <is>
          <t>Y</t>
        </is>
      </c>
      <c r="R111" t="inlineStr"/>
      <c r="S111" t="inlineStr"/>
      <c r="T111" t="inlineStr">
        <is>
          <t>qualitative</t>
        </is>
      </c>
      <c r="U111" t="inlineStr"/>
      <c r="V111" t="inlineStr"/>
      <c r="W111" t="inlineStr">
        <is>
          <t>auto: Drawing on ethnographic interviews and focus group discussions with street vendors and hawker organisations, this study uncovers the creative arrangements and tactics hawkers employ to resist eviction and reclaim their space in the city.</t>
        </is>
      </c>
      <c r="X111" t="inlineStr"/>
      <c r="Y111" t="inlineStr"/>
      <c r="Z111" t="inlineStr">
        <is>
          <t>medium</t>
        </is>
      </c>
      <c r="AA111" t="inlineStr">
        <is>
          <t>A9:india</t>
        </is>
      </c>
      <c r="AB111" t="inlineStr"/>
      <c r="AC111" t="n">
        <v>0</v>
      </c>
    </row>
    <row r="112">
      <c r="A112" t="inlineStr">
        <is>
          <t>LM00111</t>
        </is>
      </c>
      <c r="B112" t="inlineStr">
        <is>
          <t>Mending Privately Owned Public Spaces</t>
        </is>
      </c>
      <c r="C112" t="n">
        <v>2025</v>
      </c>
      <c r="D112" t="inlineStr">
        <is>
          <t>Adriana Cobo Corey</t>
        </is>
      </c>
      <c r="E112" t="inlineStr">
        <is>
          <t>Routledge eBooks</t>
        </is>
      </c>
      <c r="F112" t="inlineStr">
        <is>
          <t>book</t>
        </is>
      </c>
      <c r="G112" t="inlineStr">
        <is>
          <t>10.4324/9781003534297</t>
        </is>
      </c>
      <c r="H112" t="inlineStr">
        <is>
          <t>W4416177029</t>
        </is>
      </c>
      <c r="I112" t="inlineStr">
        <is>
          <t>https://doi.org/10.4324/9781003534297</t>
        </is>
      </c>
      <c r="J112" t="inlineStr">
        <is>
          <t>https://api.taylorfrancis.com/content/books/mono/download?identifierName=doi&amp;identifierValue=10.4324/9781003534297&amp;type=googlepdf</t>
        </is>
      </c>
      <c r="K112" t="n">
        <v>0</v>
      </c>
      <c r="L112" t="inlineStr">
        <is>
          <t>A</t>
        </is>
      </c>
      <c r="M112" t="inlineStr">
        <is>
          <t>A9</t>
        </is>
      </c>
      <c r="N112" t="inlineStr"/>
      <c r="O112" t="inlineStr"/>
      <c r="P112" t="inlineStr">
        <is>
          <t>Not place-specific</t>
        </is>
      </c>
      <c r="Q112" t="inlineStr"/>
      <c r="R112" t="inlineStr"/>
      <c r="S112" t="inlineStr"/>
      <c r="T112" t="inlineStr">
        <is>
          <t>conceptual</t>
        </is>
      </c>
      <c r="U112" t="inlineStr"/>
      <c r="V112" t="inlineStr"/>
      <c r="W112" t="inlineStr">
        <is>
          <t>auto: This book is motivated by a simple observation: Privately Owned Public Spaces, or POPS, are overlooked sites when it comes to exploring the subject of taste in architecture and urban design.</t>
        </is>
      </c>
      <c r="X112" t="inlineStr">
        <is>
          <t>auto: This book is motivated by a simple observation: Privately Owned Public Spaces, or POPS, are overlooked sites when it comes to exploring the subject of taste in architecture and urban design.</t>
        </is>
      </c>
      <c r="Y112" t="inlineStr"/>
      <c r="Z112" t="inlineStr">
        <is>
          <t>high</t>
        </is>
      </c>
      <c r="AA112" t="inlineStr">
        <is>
          <t>A9:recent</t>
        </is>
      </c>
      <c r="AB112" t="inlineStr"/>
      <c r="AC112" t="n">
        <v>0</v>
      </c>
    </row>
    <row r="113">
      <c r="A113" t="inlineStr">
        <is>
          <t>LM00112</t>
        </is>
      </c>
      <c r="B113" t="inlineStr">
        <is>
          <t>Private developments, public edges: intermediary spaces and privately-owned public spaces in urban megaprojects in Bangkok</t>
        </is>
      </c>
      <c r="C113" t="n">
        <v>2026</v>
      </c>
      <c r="D113" t="inlineStr">
        <is>
          <t>Federico Puggioni; Nij Tontisirin</t>
        </is>
      </c>
      <c r="E113" t="inlineStr">
        <is>
          <t>Journal of Urban Design</t>
        </is>
      </c>
      <c r="F113" t="inlineStr">
        <is>
          <t>article</t>
        </is>
      </c>
      <c r="G113" t="inlineStr">
        <is>
          <t>10.1080/13574809.2025.2608331</t>
        </is>
      </c>
      <c r="H113" t="inlineStr">
        <is>
          <t>W7124159641</t>
        </is>
      </c>
      <c r="I113" t="inlineStr">
        <is>
          <t>https://doi.org/10.1080/13574809.2025.2608331</t>
        </is>
      </c>
      <c r="J113" t="inlineStr"/>
      <c r="K113" t="n">
        <v>0</v>
      </c>
      <c r="L113" t="inlineStr">
        <is>
          <t>A</t>
        </is>
      </c>
      <c r="M113" t="inlineStr">
        <is>
          <t>A9</t>
        </is>
      </c>
      <c r="N113" t="inlineStr"/>
      <c r="O113" t="inlineStr">
        <is>
          <t>Bangkok; Southeast Asia</t>
        </is>
      </c>
      <c r="P113" t="inlineStr">
        <is>
          <t>Southeast Asia</t>
        </is>
      </c>
      <c r="Q113" t="inlineStr"/>
      <c r="R113" t="inlineStr"/>
      <c r="S113" t="inlineStr"/>
      <c r="T113" t="inlineStr">
        <is>
          <t>qualitative</t>
        </is>
      </c>
      <c r="U113" t="inlineStr"/>
      <c r="V113" t="inlineStr"/>
      <c r="W113" t="inlineStr">
        <is>
          <t>auto: This study investigates how contemporary privately owned public spaces and intermediary spaces located within Bangkok’s recent urban megaprojects redefine the relationships between public and private realms at various scales.</t>
        </is>
      </c>
      <c r="X113" t="inlineStr"/>
      <c r="Y113" t="inlineStr"/>
      <c r="Z113" t="inlineStr">
        <is>
          <t>high</t>
        </is>
      </c>
      <c r="AA113" t="inlineStr">
        <is>
          <t>A9:recent</t>
        </is>
      </c>
      <c r="AB113" t="inlineStr"/>
      <c r="AC113" t="n">
        <v>0</v>
      </c>
    </row>
    <row r="114">
      <c r="A114" t="inlineStr">
        <is>
          <t>LM00113</t>
        </is>
      </c>
      <c r="B114" t="inlineStr">
        <is>
          <t>Publicness and the City</t>
        </is>
      </c>
      <c r="C114" t="n">
        <v>2026</v>
      </c>
      <c r="D114" t="inlineStr">
        <is>
          <t>Roberto Rocco</t>
        </is>
      </c>
      <c r="E114" t="inlineStr">
        <is>
          <t>Springer eBooks</t>
        </is>
      </c>
      <c r="F114" t="inlineStr">
        <is>
          <t>book-chapter</t>
        </is>
      </c>
      <c r="G114" t="inlineStr">
        <is>
          <t>10.1007/978-981-95-2251-4_2</t>
        </is>
      </c>
      <c r="H114" t="inlineStr">
        <is>
          <t>W7128427833</t>
        </is>
      </c>
      <c r="I114" t="inlineStr">
        <is>
          <t>https://doi.org/10.1007/978-981-95-2251-4_2</t>
        </is>
      </c>
      <c r="J114" t="inlineStr"/>
      <c r="K114" t="n">
        <v>0</v>
      </c>
      <c r="L114" t="inlineStr">
        <is>
          <t>A</t>
        </is>
      </c>
      <c r="M114" t="inlineStr">
        <is>
          <t>A9</t>
        </is>
      </c>
      <c r="N114" t="inlineStr"/>
      <c r="O114" t="inlineStr"/>
      <c r="P114" t="inlineStr">
        <is>
          <t>Not place-specific</t>
        </is>
      </c>
      <c r="Q114" t="inlineStr"/>
      <c r="R114" t="inlineStr"/>
      <c r="S114" t="inlineStr"/>
      <c r="T114" t="inlineStr">
        <is>
          <t>unclear</t>
        </is>
      </c>
      <c r="U114" t="inlineStr"/>
      <c r="V114" t="inlineStr"/>
      <c r="W114" t="inlineStr"/>
      <c r="X114" t="inlineStr"/>
      <c r="Y114" t="inlineStr"/>
      <c r="Z114" t="inlineStr">
        <is>
          <t>low</t>
        </is>
      </c>
      <c r="AA114" t="inlineStr">
        <is>
          <t>A9:recent</t>
        </is>
      </c>
      <c r="AB114" t="inlineStr"/>
      <c r="AC114" t="n">
        <v>0</v>
      </c>
    </row>
    <row r="115">
      <c r="A115" t="inlineStr">
        <is>
          <t>LM00114</t>
        </is>
      </c>
      <c r="B115" t="inlineStr">
        <is>
          <t>Street Vending and the Right to the City</t>
        </is>
      </c>
      <c r="C115" t="n">
        <v>2026</v>
      </c>
      <c r="D115" t="inlineStr">
        <is>
          <t>Amy Schoenecker</t>
        </is>
      </c>
      <c r="E115" t="inlineStr">
        <is>
          <t>Routledge eBooks</t>
        </is>
      </c>
      <c r="F115" t="inlineStr">
        <is>
          <t>book</t>
        </is>
      </c>
      <c r="G115" t="inlineStr">
        <is>
          <t>10.4324/9781003605980</t>
        </is>
      </c>
      <c r="H115" t="inlineStr">
        <is>
          <t>W7131298314</t>
        </is>
      </c>
      <c r="I115" t="inlineStr">
        <is>
          <t>https://doi.org/10.4324/9781003605980</t>
        </is>
      </c>
      <c r="J115" t="inlineStr"/>
      <c r="K115" t="n">
        <v>0</v>
      </c>
      <c r="L115" t="inlineStr">
        <is>
          <t>A</t>
        </is>
      </c>
      <c r="M115" t="inlineStr">
        <is>
          <t>A9</t>
        </is>
      </c>
      <c r="N115" t="inlineStr"/>
      <c r="O115" t="inlineStr">
        <is>
          <t>Chicago; Mumbai; New York; Uruguay</t>
        </is>
      </c>
      <c r="P115" t="inlineStr">
        <is>
          <t>Multi-region</t>
        </is>
      </c>
      <c r="Q115" t="inlineStr">
        <is>
          <t>Y</t>
        </is>
      </c>
      <c r="R115" t="inlineStr"/>
      <c r="S115" t="inlineStr"/>
      <c r="T115" t="inlineStr">
        <is>
          <t>qualitative</t>
        </is>
      </c>
      <c r="U115" t="inlineStr"/>
      <c r="V115" t="inlineStr"/>
      <c r="W115" t="inlineStr">
        <is>
          <t>auto: Cities and states, from New York City to Uruguay, have begun to formalize street vending, with many advocates arguing for this approach, but this book highlights why formalization is not a cure.</t>
        </is>
      </c>
      <c r="X115" t="inlineStr"/>
      <c r="Y115" t="inlineStr"/>
      <c r="Z115" t="inlineStr">
        <is>
          <t>high</t>
        </is>
      </c>
      <c r="AA115" t="inlineStr">
        <is>
          <t>A9:india</t>
        </is>
      </c>
      <c r="AB115" t="inlineStr"/>
      <c r="AC115" t="n">
        <v>0</v>
      </c>
    </row>
    <row r="116">
      <c r="A116" t="inlineStr">
        <is>
          <t>LM00115</t>
        </is>
      </c>
      <c r="B116" t="inlineStr">
        <is>
          <t>How public are they? Privately owned public spaces in Shanghai, China</t>
        </is>
      </c>
      <c r="C116" t="n">
        <v>2026</v>
      </c>
      <c r="D116" t="inlineStr">
        <is>
          <t>Yiming Wang; Jie Chen</t>
        </is>
      </c>
      <c r="E116" t="inlineStr">
        <is>
          <t>Urban Research &amp; Practice</t>
        </is>
      </c>
      <c r="F116" t="inlineStr">
        <is>
          <t>article</t>
        </is>
      </c>
      <c r="G116" t="inlineStr">
        <is>
          <t>10.1080/17535069.2026.2690504</t>
        </is>
      </c>
      <c r="H116" t="inlineStr">
        <is>
          <t>W7165138768</t>
        </is>
      </c>
      <c r="I116" t="inlineStr">
        <is>
          <t>https://doi.org/10.1080/17535069.2026.2690504</t>
        </is>
      </c>
      <c r="J116" t="inlineStr"/>
      <c r="K116" t="n">
        <v>0</v>
      </c>
      <c r="L116" t="inlineStr">
        <is>
          <t>A</t>
        </is>
      </c>
      <c r="M116" t="inlineStr">
        <is>
          <t>A9</t>
        </is>
      </c>
      <c r="N116" t="inlineStr"/>
      <c r="O116" t="inlineStr">
        <is>
          <t>China; Shanghai</t>
        </is>
      </c>
      <c r="P116" t="inlineStr">
        <is>
          <t>China &amp; East Asia</t>
        </is>
      </c>
      <c r="Q116" t="inlineStr"/>
      <c r="R116" t="inlineStr"/>
      <c r="S116" t="inlineStr"/>
      <c r="T116" t="inlineStr">
        <is>
          <t>unclear</t>
        </is>
      </c>
      <c r="U116" t="inlineStr"/>
      <c r="V116" t="inlineStr"/>
      <c r="W116" t="inlineStr">
        <is>
          <t>auto: This research shifts the focus to POPS in Shanghai, China.</t>
        </is>
      </c>
      <c r="X116" t="inlineStr"/>
      <c r="Y116" t="inlineStr"/>
      <c r="Z116" t="inlineStr">
        <is>
          <t>medium</t>
        </is>
      </c>
      <c r="AA116" t="inlineStr">
        <is>
          <t>A9:recent</t>
        </is>
      </c>
      <c r="AB116" t="inlineStr"/>
      <c r="AC116" t="n">
        <v>0</v>
      </c>
    </row>
    <row r="117">
      <c r="A117" t="inlineStr">
        <is>
          <t>LM00116</t>
        </is>
      </c>
      <c r="B117" t="inlineStr">
        <is>
          <t>Hawkers, Footpaths and the City: Informality, Urban Space, and Life in Kolkata</t>
        </is>
      </c>
      <c r="C117" t="n">
        <v>2026</v>
      </c>
      <c r="D117" t="inlineStr">
        <is>
          <t>Madhumita Roy</t>
        </is>
      </c>
      <c r="E117" t="inlineStr">
        <is>
          <t>International Journal of Science and Research (IJSR)</t>
        </is>
      </c>
      <c r="F117" t="inlineStr">
        <is>
          <t>article</t>
        </is>
      </c>
      <c r="G117" t="inlineStr">
        <is>
          <t>10.21275/sr26612122147</t>
        </is>
      </c>
      <c r="H117" t="inlineStr">
        <is>
          <t>W7165162535</t>
        </is>
      </c>
      <c r="I117" t="inlineStr">
        <is>
          <t>https://doi.org/10.21275/sr26612122147</t>
        </is>
      </c>
      <c r="J117" t="inlineStr">
        <is>
          <t>https://doi.org/10.21275/sr26612122147</t>
        </is>
      </c>
      <c r="K117" t="n">
        <v>0</v>
      </c>
      <c r="L117" t="inlineStr">
        <is>
          <t>A</t>
        </is>
      </c>
      <c r="M117" t="inlineStr">
        <is>
          <t>A9</t>
        </is>
      </c>
      <c r="N117" t="inlineStr"/>
      <c r="O117" t="inlineStr">
        <is>
          <t>Kolkata</t>
        </is>
      </c>
      <c r="P117" t="inlineStr">
        <is>
          <t>South Asia</t>
        </is>
      </c>
      <c r="Q117" t="inlineStr">
        <is>
          <t>Y</t>
        </is>
      </c>
      <c r="R117" t="inlineStr"/>
      <c r="S117" t="inlineStr"/>
      <c r="T117" t="inlineStr">
        <is>
          <t>qualitative</t>
        </is>
      </c>
      <c r="U117" t="inlineStr"/>
      <c r="V117" t="inlineStr"/>
      <c r="W117" t="inlineStr">
        <is>
          <t>auto: This paper draws from urban theory, political economy, ethnography, and archival sources to trace the historical evolution of street hawking.</t>
        </is>
      </c>
      <c r="X117" t="inlineStr"/>
      <c r="Y117" t="inlineStr"/>
      <c r="Z117" t="inlineStr">
        <is>
          <t>high</t>
        </is>
      </c>
      <c r="AA117" t="inlineStr">
        <is>
          <t>A9:india</t>
        </is>
      </c>
      <c r="AB117" t="inlineStr"/>
      <c r="AC117" t="n">
        <v>0</v>
      </c>
    </row>
    <row r="118">
      <c r="A118" t="inlineStr">
        <is>
          <t>LM00117</t>
        </is>
      </c>
      <c r="B118" t="inlineStr">
        <is>
          <t>Public spaces in an industrial town: what the Covid-19 lockdowns tell us about publicness and everyday urbanism in Vietnam</t>
        </is>
      </c>
      <c r="C118" t="n">
        <v>2026</v>
      </c>
      <c r="D118" t="inlineStr">
        <is>
          <t>Thi‐Thanh‐Hiên Pham; Sarah Turner; Khac Minh Trân</t>
        </is>
      </c>
      <c r="E118" t="inlineStr">
        <is>
          <t>Asian Geographer</t>
        </is>
      </c>
      <c r="F118" t="inlineStr">
        <is>
          <t>article</t>
        </is>
      </c>
      <c r="G118" t="inlineStr">
        <is>
          <t>10.1080/10225706.2026.2693142</t>
        </is>
      </c>
      <c r="H118" t="inlineStr">
        <is>
          <t>W7167074488</t>
        </is>
      </c>
      <c r="I118" t="inlineStr">
        <is>
          <t>https://doi.org/10.1080/10225706.2026.2693142</t>
        </is>
      </c>
      <c r="J118" t="inlineStr">
        <is>
          <t>https://doi.org/10.6084/m9.figshare.32882272.v2</t>
        </is>
      </c>
      <c r="K118" t="n">
        <v>0</v>
      </c>
      <c r="L118" t="inlineStr">
        <is>
          <t>A</t>
        </is>
      </c>
      <c r="M118" t="inlineStr">
        <is>
          <t>A9</t>
        </is>
      </c>
      <c r="N118" t="inlineStr"/>
      <c r="O118" t="inlineStr">
        <is>
          <t>Vietnam</t>
        </is>
      </c>
      <c r="P118" t="inlineStr">
        <is>
          <t>Southeast Asia</t>
        </is>
      </c>
      <c r="Q118" t="inlineStr"/>
      <c r="R118" t="inlineStr"/>
      <c r="S118" t="inlineStr"/>
      <c r="T118" t="inlineStr">
        <is>
          <t>qualitative</t>
        </is>
      </c>
      <c r="U118" t="inlineStr"/>
      <c r="V118" t="inlineStr"/>
      <c r="W118" t="inlineStr">
        <is>
          <t>auto: In this article, we examine the changing perceptions and uses of public spaces among the residents of Dĩ An, an industrial town in southern Vietnam, and the impacts of these shifts on everyday life.</t>
        </is>
      </c>
      <c r="X118" t="inlineStr"/>
      <c r="Y118" t="inlineStr"/>
      <c r="Z118" t="inlineStr">
        <is>
          <t>high</t>
        </is>
      </c>
      <c r="AA118" t="inlineStr">
        <is>
          <t>A9:recent</t>
        </is>
      </c>
      <c r="AB118" t="inlineStr">
        <is>
          <t>W7167098793; W7167128156</t>
        </is>
      </c>
      <c r="AC118" t="n">
        <v>0</v>
      </c>
    </row>
    <row r="119">
      <c r="A119" t="inlineStr">
        <is>
          <t>LM00118</t>
        </is>
      </c>
      <c r="B119" t="inlineStr">
        <is>
          <t>Decoding the role of graffiti and street art as a safety tool in public spaces of Bengaluru, India</t>
        </is>
      </c>
      <c r="C119" t="n">
        <v>2026</v>
      </c>
      <c r="D119" t="inlineStr">
        <is>
          <t>Cecon Swain</t>
        </is>
      </c>
      <c r="E119" t="inlineStr">
        <is>
          <t>Proceedings of the international conference of contemporary affairs in architecture and urbanism-ICCAUA.</t>
        </is>
      </c>
      <c r="F119" t="inlineStr">
        <is>
          <t>conference-paper</t>
        </is>
      </c>
      <c r="G119" t="inlineStr">
        <is>
          <t>10.38027/iccaua2026en0376</t>
        </is>
      </c>
      <c r="H119" t="inlineStr">
        <is>
          <t>W7168385685</t>
        </is>
      </c>
      <c r="I119" t="inlineStr">
        <is>
          <t>https://doi.org/10.38027/iccaua2026en0376</t>
        </is>
      </c>
      <c r="J119" t="inlineStr">
        <is>
          <t>https://journal.iccaua.com/jiccaua/article/download/839/778</t>
        </is>
      </c>
      <c r="K119" t="n">
        <v>0</v>
      </c>
      <c r="L119" t="inlineStr">
        <is>
          <t>A</t>
        </is>
      </c>
      <c r="M119" t="inlineStr">
        <is>
          <t>A9</t>
        </is>
      </c>
      <c r="N119" t="inlineStr"/>
      <c r="O119" t="inlineStr">
        <is>
          <t>Bengaluru; India</t>
        </is>
      </c>
      <c r="P119" t="inlineStr">
        <is>
          <t>South Asia</t>
        </is>
      </c>
      <c r="Q119" t="inlineStr">
        <is>
          <t>Y</t>
        </is>
      </c>
      <c r="R119" t="inlineStr"/>
      <c r="S119" t="inlineStr"/>
      <c r="T119" t="inlineStr">
        <is>
          <t>mixed</t>
        </is>
      </c>
      <c r="U119" t="inlineStr"/>
      <c r="V119" t="inlineStr"/>
      <c r="W119" t="inlineStr">
        <is>
          <t>auto: This paper investigates the role and works of Street art.It employs qualitative research methods including detailed surveys, depth interviews and visual recordings.</t>
        </is>
      </c>
      <c r="X119" t="inlineStr"/>
      <c r="Y119" t="inlineStr"/>
      <c r="Z119" t="inlineStr">
        <is>
          <t>high</t>
        </is>
      </c>
      <c r="AA119" t="inlineStr">
        <is>
          <t>A9:india</t>
        </is>
      </c>
      <c r="AB119" t="inlineStr"/>
      <c r="AC119" t="n">
        <v>0</v>
      </c>
    </row>
    <row r="120">
      <c r="A120" t="inlineStr">
        <is>
          <t>LM00119</t>
        </is>
      </c>
      <c r="B120" t="inlineStr">
        <is>
          <t>Designing Publicness</t>
        </is>
      </c>
      <c r="C120" t="n">
        <v>2026</v>
      </c>
      <c r="D120" t="inlineStr">
        <is>
          <t>Rui Leão; T W H Chung; Luisa Bravo</t>
        </is>
      </c>
      <c r="E120" t="inlineStr">
        <is>
          <t>The Journal of Public Space</t>
        </is>
      </c>
      <c r="F120" t="inlineStr">
        <is>
          <t>article</t>
        </is>
      </c>
      <c r="G120" t="inlineStr">
        <is>
          <t>10.32891/jps.v11i1.1909</t>
        </is>
      </c>
      <c r="H120" t="inlineStr">
        <is>
          <t>W7169659753</t>
        </is>
      </c>
      <c r="I120" t="inlineStr">
        <is>
          <t>https://doi.org/10.32891/jps.v11i1.1909</t>
        </is>
      </c>
      <c r="J120" t="inlineStr">
        <is>
          <t>https://www.journalpublicspace.org/index.php/jps/article/download/1909/1049</t>
        </is>
      </c>
      <c r="K120" t="n">
        <v>0</v>
      </c>
      <c r="L120" t="inlineStr">
        <is>
          <t>A</t>
        </is>
      </c>
      <c r="M120" t="inlineStr">
        <is>
          <t>A9</t>
        </is>
      </c>
      <c r="N120" t="inlineStr"/>
      <c r="O120" t="inlineStr">
        <is>
          <t>Barcelona; Macau</t>
        </is>
      </c>
      <c r="P120" t="inlineStr">
        <is>
          <t>Multi-region</t>
        </is>
      </c>
      <c r="Q120" t="inlineStr"/>
      <c r="R120" t="inlineStr"/>
      <c r="S120" t="inlineStr"/>
      <c r="T120" t="inlineStr">
        <is>
          <t>conceptual</t>
        </is>
      </c>
      <c r="U120" t="inlineStr"/>
      <c r="V120" t="inlineStr"/>
      <c r="W120" t="inlineStr">
        <is>
          <t>auto: Public space is where cities breathe - and where cultures negotiate who “we” are.</t>
        </is>
      </c>
      <c r="X120" t="inlineStr"/>
      <c r="Y120" t="inlineStr"/>
      <c r="Z120" t="inlineStr">
        <is>
          <t>high</t>
        </is>
      </c>
      <c r="AA120" t="inlineStr">
        <is>
          <t>A9:recent</t>
        </is>
      </c>
      <c r="AB120" t="inlineStr"/>
      <c r="AC120" t="n">
        <v>0</v>
      </c>
    </row>
    <row r="121">
      <c r="A121" t="inlineStr">
        <is>
          <t>LM00120</t>
        </is>
      </c>
      <c r="B121" t="inlineStr">
        <is>
          <t>Interpreting public space through a publicness–typology approach: An exploratory study of public spaces in Shanghai, China</t>
        </is>
      </c>
      <c r="C121" t="n">
        <v>2026</v>
      </c>
      <c r="D121" t="inlineStr">
        <is>
          <t>Jingyi Zhu</t>
        </is>
      </c>
      <c r="E121" t="inlineStr">
        <is>
          <t>URBAN DESIGN International</t>
        </is>
      </c>
      <c r="F121" t="inlineStr">
        <is>
          <t>article</t>
        </is>
      </c>
      <c r="G121" t="inlineStr">
        <is>
          <t>10.1057/s41289-026-00345-3</t>
        </is>
      </c>
      <c r="H121" t="inlineStr">
        <is>
          <t>W7171348847</t>
        </is>
      </c>
      <c r="I121" t="inlineStr">
        <is>
          <t>https://doi.org/10.1057/s41289-026-00345-3</t>
        </is>
      </c>
      <c r="J121" t="inlineStr">
        <is>
          <t>https://link.springer.com/content/pdf/10.1057/s41289-026-00345-3.pdf</t>
        </is>
      </c>
      <c r="K121" t="n">
        <v>0</v>
      </c>
      <c r="L121" t="inlineStr">
        <is>
          <t>A</t>
        </is>
      </c>
      <c r="M121" t="inlineStr">
        <is>
          <t>A9</t>
        </is>
      </c>
      <c r="N121" t="inlineStr"/>
      <c r="O121" t="inlineStr">
        <is>
          <t>China; Shanghai</t>
        </is>
      </c>
      <c r="P121" t="inlineStr">
        <is>
          <t>China &amp; East Asia</t>
        </is>
      </c>
      <c r="Q121" t="inlineStr"/>
      <c r="R121" t="inlineStr"/>
      <c r="S121" t="inlineStr"/>
      <c r="T121" t="inlineStr">
        <is>
          <t>conceptual</t>
        </is>
      </c>
      <c r="U121" t="inlineStr"/>
      <c r="V121" t="inlineStr"/>
      <c r="W121" t="inlineStr">
        <is>
          <t>auto: By interpreting these cases with a new typology of public space comprising symbolic public space, entrepreneurial public space, community public space, and spontaneous public space, I argue that to examine public spaces as embedded in their unique contextual complexities, it is important to see p…</t>
        </is>
      </c>
      <c r="X121" t="inlineStr"/>
      <c r="Y121" t="inlineStr"/>
      <c r="Z121" t="inlineStr">
        <is>
          <t>high</t>
        </is>
      </c>
      <c r="AA121" t="inlineStr">
        <is>
          <t>A9:recent</t>
        </is>
      </c>
      <c r="AB121" t="inlineStr"/>
      <c r="AC121" t="n">
        <v>0</v>
      </c>
    </row>
    <row r="122">
      <c r="A122" t="inlineStr">
        <is>
          <t>LM00121</t>
        </is>
      </c>
      <c r="B122" t="inlineStr">
        <is>
          <t>The City Through Her Eyes: Gender-Based Harassment in Public Spaces in Urban India</t>
        </is>
      </c>
      <c r="C122" t="n">
        <v>2026</v>
      </c>
      <c r="D122" t="inlineStr">
        <is>
          <t>Lori A. Beaman; Seema Jayachandran; Anisha Sharma</t>
        </is>
      </c>
      <c r="E122" t="inlineStr">
        <is>
          <t>National Bureau of Economic Research</t>
        </is>
      </c>
      <c r="F122" t="inlineStr">
        <is>
          <t>report</t>
        </is>
      </c>
      <c r="G122" t="inlineStr">
        <is>
          <t>10.3386/w35738</t>
        </is>
      </c>
      <c r="H122" t="inlineStr">
        <is>
          <t>W7213122096</t>
        </is>
      </c>
      <c r="I122" t="inlineStr">
        <is>
          <t>https://doi.org/10.3386/w35738</t>
        </is>
      </c>
      <c r="J122" t="inlineStr">
        <is>
          <t>https://doi.org/10.3386/w35738</t>
        </is>
      </c>
      <c r="K122" t="n">
        <v>0</v>
      </c>
      <c r="L122" t="inlineStr">
        <is>
          <t>A</t>
        </is>
      </c>
      <c r="M122" t="inlineStr">
        <is>
          <t>A9</t>
        </is>
      </c>
      <c r="N122" t="inlineStr"/>
      <c r="O122" t="inlineStr">
        <is>
          <t>Bengaluru; India; New Delhi</t>
        </is>
      </c>
      <c r="P122" t="inlineStr">
        <is>
          <t>South Asia</t>
        </is>
      </c>
      <c r="Q122" t="inlineStr">
        <is>
          <t>Y</t>
        </is>
      </c>
      <c r="R122" t="inlineStr">
        <is>
          <t>Y</t>
        </is>
      </c>
      <c r="S122" t="inlineStr"/>
      <c r="T122" t="inlineStr">
        <is>
          <t>quantitative</t>
        </is>
      </c>
      <c r="U122" t="inlineStr"/>
      <c r="V122" t="inlineStr"/>
      <c r="W122" t="inlineStr">
        <is>
          <t>auto: Gender-based harassment in public spaces affects women directly through victimization and indirectly through fear.We measure these dual effects in urban India, where harassment is widely regarded as pervasive.Surveying over 4,000 women recruited in public spaces in New Delhi and Bengaluru, we doc…</t>
        </is>
      </c>
      <c r="X122" t="inlineStr"/>
      <c r="Y122" t="inlineStr"/>
      <c r="Z122" t="inlineStr">
        <is>
          <t>medium</t>
        </is>
      </c>
      <c r="AA122" t="inlineStr">
        <is>
          <t>A9:india</t>
        </is>
      </c>
      <c r="AB122" t="inlineStr">
        <is>
          <t>W7213349494</t>
        </is>
      </c>
    </row>
    <row r="123">
      <c r="A123" t="inlineStr">
        <is>
          <t>LM00122</t>
        </is>
      </c>
      <c r="B123" t="inlineStr">
        <is>
          <t>Designing Indian streets as social public spaces : contextual design and planning in Bangalore</t>
        </is>
      </c>
      <c r="C123" t="n">
        <v>2014</v>
      </c>
      <c r="D123" t="inlineStr">
        <is>
          <t>Sneha Mandhan</t>
        </is>
      </c>
      <c r="E123" t="inlineStr">
        <is>
          <t>DSpace@MIT (Massachusetts Institute of Technology)</t>
        </is>
      </c>
      <c r="F123" t="inlineStr">
        <is>
          <t>dissertation</t>
        </is>
      </c>
      <c r="G123" t="inlineStr"/>
      <c r="H123" t="inlineStr">
        <is>
          <t>W1584679655</t>
        </is>
      </c>
      <c r="I123" t="inlineStr">
        <is>
          <t>http://hdl.handle.net/1721.1/90209</t>
        </is>
      </c>
      <c r="J123" t="inlineStr"/>
      <c r="K123" t="n">
        <v>0</v>
      </c>
      <c r="L123" t="inlineStr">
        <is>
          <t>A</t>
        </is>
      </c>
      <c r="M123" t="inlineStr">
        <is>
          <t>A9</t>
        </is>
      </c>
      <c r="N123" t="inlineStr"/>
      <c r="O123" t="inlineStr">
        <is>
          <t>Bangalore; India</t>
        </is>
      </c>
      <c r="P123" t="inlineStr">
        <is>
          <t>South Asia</t>
        </is>
      </c>
      <c r="Q123" t="inlineStr">
        <is>
          <t>Y</t>
        </is>
      </c>
      <c r="R123" t="inlineStr"/>
      <c r="S123" t="inlineStr"/>
      <c r="T123" t="inlineStr">
        <is>
          <t>unclear</t>
        </is>
      </c>
      <c r="U123" t="inlineStr"/>
      <c r="V123" t="inlineStr"/>
      <c r="W123" t="inlineStr">
        <is>
          <t>auto: Thesis: M.C.P., Massachusetts Institute of Technology, Department of Urban Studies and Planning, 2014.</t>
        </is>
      </c>
      <c r="X123" t="inlineStr"/>
      <c r="Y123" t="inlineStr"/>
      <c r="Z123" t="inlineStr">
        <is>
          <t>medium</t>
        </is>
      </c>
      <c r="AA123" t="inlineStr">
        <is>
          <t>A9:india</t>
        </is>
      </c>
      <c r="AB123" t="inlineStr"/>
    </row>
    <row r="124">
      <c r="A124" t="inlineStr">
        <is>
          <t>LM00123</t>
        </is>
      </c>
      <c r="B124" t="inlineStr">
        <is>
          <t>Spaces for engagement in the city of Mumbai : rethinking parks and public spaces in congested cities</t>
        </is>
      </c>
      <c r="C124" t="n">
        <v>2015</v>
      </c>
      <c r="D124" t="inlineStr">
        <is>
          <t>Kairav Shroff</t>
        </is>
      </c>
      <c r="E124" t="inlineStr"/>
      <c r="F124" t="inlineStr">
        <is>
          <t>dissertation</t>
        </is>
      </c>
      <c r="G124" t="inlineStr"/>
      <c r="H124" t="inlineStr">
        <is>
          <t>W1924685162</t>
        </is>
      </c>
      <c r="I124" t="inlineStr">
        <is>
          <t>https://dspace.mit.edu/handle/1721.1/99302</t>
        </is>
      </c>
      <c r="J124" t="inlineStr"/>
      <c r="K124" t="n">
        <v>0</v>
      </c>
      <c r="L124" t="inlineStr">
        <is>
          <t>A</t>
        </is>
      </c>
      <c r="M124" t="inlineStr">
        <is>
          <t>A9</t>
        </is>
      </c>
      <c r="N124" t="inlineStr"/>
      <c r="O124" t="inlineStr">
        <is>
          <t>Mumbai</t>
        </is>
      </c>
      <c r="P124" t="inlineStr">
        <is>
          <t>South Asia</t>
        </is>
      </c>
      <c r="Q124" t="inlineStr">
        <is>
          <t>Y</t>
        </is>
      </c>
      <c r="R124" t="inlineStr"/>
      <c r="S124" t="inlineStr"/>
      <c r="T124" t="inlineStr">
        <is>
          <t>unclear</t>
        </is>
      </c>
      <c r="U124" t="inlineStr"/>
      <c r="V124" t="inlineStr"/>
      <c r="W124" t="inlineStr"/>
      <c r="X124" t="inlineStr"/>
      <c r="Y124" t="inlineStr"/>
      <c r="Z124" t="inlineStr">
        <is>
          <t>low</t>
        </is>
      </c>
      <c r="AA124" t="inlineStr">
        <is>
          <t>A9:india</t>
        </is>
      </c>
      <c r="AB124" t="inlineStr"/>
    </row>
    <row r="125">
      <c r="A125" t="inlineStr">
        <is>
          <t>LM00124</t>
        </is>
      </c>
      <c r="B125" t="inlineStr">
        <is>
          <t>Everyday Urbanism, An Alternate Approach to Urban Public Space : Promoting Sustainable Lifestyles in Chennai, India</t>
        </is>
      </c>
      <c r="C125" t="n">
        <v>2012</v>
      </c>
      <c r="D125" t="inlineStr">
        <is>
          <t>Arvind Ramachandran</t>
        </is>
      </c>
      <c r="E125" t="inlineStr">
        <is>
          <t>KTH Publication Database DiVA (KTH Royal Institute of Technology)</t>
        </is>
      </c>
      <c r="F125" t="inlineStr">
        <is>
          <t>dissertation</t>
        </is>
      </c>
      <c r="G125" t="inlineStr"/>
      <c r="H125" t="inlineStr">
        <is>
          <t>W2955220964</t>
        </is>
      </c>
      <c r="I125" t="inlineStr">
        <is>
          <t>http://urn.kb.se/resolve?urn=urn:nbn:se:kth:diva-98307</t>
        </is>
      </c>
      <c r="J125" t="inlineStr">
        <is>
          <t>http://urn.kb.se/resolve?urn=urn:nbn:se:kth:diva-98307</t>
        </is>
      </c>
      <c r="K125" t="n">
        <v>0</v>
      </c>
      <c r="L125" t="inlineStr">
        <is>
          <t>A</t>
        </is>
      </c>
      <c r="M125" t="inlineStr">
        <is>
          <t>A9</t>
        </is>
      </c>
      <c r="N125" t="inlineStr"/>
      <c r="O125" t="inlineStr">
        <is>
          <t>Chennai; India</t>
        </is>
      </c>
      <c r="P125" t="inlineStr">
        <is>
          <t>South Asia</t>
        </is>
      </c>
      <c r="Q125" t="inlineStr">
        <is>
          <t>Y</t>
        </is>
      </c>
      <c r="R125" t="inlineStr"/>
      <c r="S125" t="inlineStr"/>
      <c r="T125" t="inlineStr">
        <is>
          <t>qualitative</t>
        </is>
      </c>
      <c r="U125" t="inlineStr"/>
      <c r="V125" t="inlineStr"/>
      <c r="W125" t="inlineStr">
        <is>
          <t>auto: Privatization of the public realm is rampant in modern cities.</t>
        </is>
      </c>
      <c r="X125" t="inlineStr"/>
      <c r="Y125" t="inlineStr"/>
      <c r="Z125" t="inlineStr">
        <is>
          <t>high</t>
        </is>
      </c>
      <c r="AA125" t="inlineStr">
        <is>
          <t>A9:india</t>
        </is>
      </c>
      <c r="AB125" t="inlineStr"/>
    </row>
    <row r="126">
      <c r="A126" t="inlineStr">
        <is>
          <t>LM00125</t>
        </is>
      </c>
      <c r="B126" t="inlineStr">
        <is>
          <t>Digital Perceptions: Comparing the Perceptional Difference between Public Spaces and POPS (Privately Owned Public Spaces) Through Online Reviews</t>
        </is>
      </c>
      <c r="C126" t="n">
        <v>2023</v>
      </c>
      <c r="D126" t="inlineStr">
        <is>
          <t>Yucheng Zhang</t>
        </is>
      </c>
      <c r="E126" t="inlineStr">
        <is>
          <t>eCommons (Cornell University)</t>
        </is>
      </c>
      <c r="F126" t="inlineStr">
        <is>
          <t>dissertation</t>
        </is>
      </c>
      <c r="G126" t="inlineStr"/>
      <c r="H126" t="inlineStr">
        <is>
          <t>W7126708936</t>
        </is>
      </c>
      <c r="I126" t="inlineStr">
        <is>
          <t>https://hdl.handle.net/1813/113141</t>
        </is>
      </c>
      <c r="J126" t="inlineStr"/>
      <c r="K126" t="n">
        <v>0</v>
      </c>
      <c r="L126" t="inlineStr">
        <is>
          <t>A</t>
        </is>
      </c>
      <c r="M126" t="inlineStr">
        <is>
          <t>A9</t>
        </is>
      </c>
      <c r="N126" t="inlineStr"/>
      <c r="O126" t="inlineStr"/>
      <c r="P126" t="inlineStr">
        <is>
          <t>Not place-specific</t>
        </is>
      </c>
      <c r="Q126" t="inlineStr"/>
      <c r="R126" t="inlineStr"/>
      <c r="S126" t="inlineStr"/>
      <c r="T126" t="inlineStr">
        <is>
          <t>computational</t>
        </is>
      </c>
      <c r="U126" t="inlineStr"/>
      <c r="V126" t="inlineStr"/>
      <c r="W126" t="inlineStr">
        <is>
          <t>auto: This study explores the potential of an automated process in assessing the perceived quality of public spaces using Natural Language Processing (NLP) algorithms and online reviews.</t>
        </is>
      </c>
      <c r="X126" t="inlineStr"/>
      <c r="Y126" t="inlineStr"/>
      <c r="Z126" t="inlineStr">
        <is>
          <t>high</t>
        </is>
      </c>
      <c r="AA126" t="inlineStr">
        <is>
          <t>A9:recent</t>
        </is>
      </c>
      <c r="AB126" t="inlineStr"/>
    </row>
    <row r="127">
      <c r="A127" t="inlineStr">
        <is>
          <t>LM00126</t>
        </is>
      </c>
      <c r="B127" t="inlineStr">
        <is>
          <t>Reimagining Privately Owned Public Spaces in NYC vs Auckland</t>
        </is>
      </c>
      <c r="C127" t="n">
        <v>2024</v>
      </c>
      <c r="D127" t="inlineStr">
        <is>
          <t>Katie Zheng</t>
        </is>
      </c>
      <c r="E127" t="inlineStr">
        <is>
          <t>eCommons (Cornell University)</t>
        </is>
      </c>
      <c r="F127" t="inlineStr">
        <is>
          <t>dissertation</t>
        </is>
      </c>
      <c r="G127" t="inlineStr"/>
      <c r="H127" t="inlineStr">
        <is>
          <t>W7126896309</t>
        </is>
      </c>
      <c r="I127" t="inlineStr">
        <is>
          <t>https://hdl.handle.net/1813/115215</t>
        </is>
      </c>
      <c r="J127" t="inlineStr"/>
      <c r="K127" t="n">
        <v>0</v>
      </c>
      <c r="L127" t="inlineStr">
        <is>
          <t>A</t>
        </is>
      </c>
      <c r="M127" t="inlineStr">
        <is>
          <t>A9</t>
        </is>
      </c>
      <c r="N127" t="inlineStr"/>
      <c r="O127" t="inlineStr">
        <is>
          <t>Auckland; New York; New Zealand; United States</t>
        </is>
      </c>
      <c r="P127" t="inlineStr">
        <is>
          <t>Global North</t>
        </is>
      </c>
      <c r="Q127" t="inlineStr"/>
      <c r="R127" t="inlineStr"/>
      <c r="S127" t="inlineStr"/>
      <c r="T127" t="inlineStr">
        <is>
          <t>conceptual</t>
        </is>
      </c>
      <c r="U127" t="inlineStr"/>
      <c r="V127" t="inlineStr"/>
      <c r="W127" t="inlineStr">
        <is>
          <t>auto: This paper explores and investigates the mechanisms behind the creation of privately owned spaces(POPS), specifically examining the regulations and review policies governing POPS in New York City and Auckland, New Zealand.</t>
        </is>
      </c>
      <c r="X127" t="inlineStr"/>
      <c r="Y127" t="inlineStr"/>
      <c r="Z127" t="inlineStr">
        <is>
          <t>high</t>
        </is>
      </c>
      <c r="AA127" t="inlineStr">
        <is>
          <t>A9:recent</t>
        </is>
      </c>
      <c r="AB127" t="inlineStr"/>
    </row>
    <row r="128">
      <c r="A128" t="inlineStr">
        <is>
          <t>LM00127</t>
        </is>
      </c>
      <c r="B128" t="inlineStr">
        <is>
          <t>Morphological Influence On Publicness In Bandung’s Public Spaces: A Case Study Of Alun-Alun And Cihampelas Walk Mall</t>
        </is>
      </c>
      <c r="C128" t="n">
        <v>2025</v>
      </c>
      <c r="D128" t="inlineStr">
        <is>
          <t>Asharsinyo Doddy Friestya</t>
        </is>
      </c>
      <c r="E128" t="inlineStr">
        <is>
          <t>Universiti Sains Malaysia Institutional Repository (Universiti Sains Malaysia)</t>
        </is>
      </c>
      <c r="F128" t="inlineStr">
        <is>
          <t>dissertation</t>
        </is>
      </c>
      <c r="G128" t="inlineStr"/>
      <c r="H128" t="inlineStr">
        <is>
          <t>W7135001818</t>
        </is>
      </c>
      <c r="I128" t="inlineStr">
        <is>
          <t>http://tesi.cab.unipd.it/63751/1/Metodi_di_identificazione_per_le_Fake_News.pdf</t>
        </is>
      </c>
      <c r="J128" t="inlineStr">
        <is>
          <t>http://eprints.usm.my/63751/1/Pages%20from%20ASHARSINYO%20DODDY%20FRIESTYA%20-%20TESIS.pdf</t>
        </is>
      </c>
      <c r="K128" t="n">
        <v>0</v>
      </c>
      <c r="L128" t="inlineStr">
        <is>
          <t>A</t>
        </is>
      </c>
      <c r="M128" t="inlineStr">
        <is>
          <t>A9</t>
        </is>
      </c>
      <c r="N128" t="inlineStr"/>
      <c r="O128" t="inlineStr">
        <is>
          <t>Bandung</t>
        </is>
      </c>
      <c r="P128" t="inlineStr">
        <is>
          <t>Southeast Asia</t>
        </is>
      </c>
      <c r="Q128" t="inlineStr"/>
      <c r="R128" t="inlineStr"/>
      <c r="S128" t="inlineStr"/>
      <c r="T128" t="inlineStr">
        <is>
          <t>qualitative</t>
        </is>
      </c>
      <c r="U128" t="inlineStr"/>
      <c r="V128" t="inlineStr"/>
      <c r="W128" t="inlineStr">
        <is>
          <t>auto: This research is focused on the relationship between the form, function, form, and meaning of public space to the degree level of publicness of spaces in Bandung City.</t>
        </is>
      </c>
      <c r="X128" t="inlineStr"/>
      <c r="Y128" t="inlineStr"/>
      <c r="Z128" t="inlineStr">
        <is>
          <t>high</t>
        </is>
      </c>
      <c r="AA128" t="inlineStr">
        <is>
          <t>A9:recent</t>
        </is>
      </c>
      <c r="AB128" t="inlineStr"/>
    </row>
    <row r="129">
      <c r="A129" t="inlineStr">
        <is>
          <t>LM00128</t>
        </is>
      </c>
      <c r="B129" t="inlineStr">
        <is>
          <t>Privately Owned Public Places - the Good, the Bad, &amp; the Ugly!</t>
        </is>
      </c>
      <c r="C129" t="n">
        <v>2026</v>
      </c>
      <c r="D129" t="inlineStr">
        <is>
          <t>David Chapman</t>
        </is>
      </c>
      <c r="E129" t="inlineStr">
        <is>
          <t>SHAREOK (University of Oklahoma; Oklahoma State University; Central Oklahoma University)</t>
        </is>
      </c>
      <c r="F129" t="inlineStr">
        <is>
          <t>conference-abstract</t>
        </is>
      </c>
      <c r="G129" t="inlineStr"/>
      <c r="H129" t="inlineStr">
        <is>
          <t>W7135337675</t>
        </is>
      </c>
      <c r="I129" t="inlineStr">
        <is>
          <t>https://shareok.org//handle/11244/342012</t>
        </is>
      </c>
      <c r="J129" t="inlineStr"/>
      <c r="K129" t="n">
        <v>0</v>
      </c>
      <c r="L129" t="inlineStr">
        <is>
          <t>A</t>
        </is>
      </c>
      <c r="M129" t="inlineStr">
        <is>
          <t>A9</t>
        </is>
      </c>
      <c r="N129" t="inlineStr"/>
      <c r="O129" t="inlineStr">
        <is>
          <t>United Kingdom</t>
        </is>
      </c>
      <c r="P129" t="inlineStr">
        <is>
          <t>Global North</t>
        </is>
      </c>
      <c r="Q129" t="inlineStr"/>
      <c r="R129" t="inlineStr"/>
      <c r="S129" t="inlineStr"/>
      <c r="T129" t="inlineStr">
        <is>
          <t>unclear</t>
        </is>
      </c>
      <c r="U129" t="inlineStr"/>
      <c r="V129" t="inlineStr"/>
      <c r="W129" t="inlineStr">
        <is>
          <t>auto: Privately Owned Public Spaces A group of University of Central Oklahoma students, faculty teamed with colleagues from Coventry University, in the United Kingdom, to research what is called Privately Owned Public Spaces (POPS).</t>
        </is>
      </c>
      <c r="X129" t="inlineStr"/>
      <c r="Y129" t="inlineStr"/>
      <c r="Z129" t="inlineStr">
        <is>
          <t>high</t>
        </is>
      </c>
      <c r="AA129" t="inlineStr">
        <is>
          <t>A9:recent</t>
        </is>
      </c>
      <c r="AB129" t="inlineStr"/>
    </row>
    <row r="130">
      <c r="A130" t="inlineStr">
        <is>
          <t>LM00129</t>
        </is>
      </c>
      <c r="B130" t="inlineStr">
        <is>
          <t>Public Spaces and Street Vendors in Mumbai A Theoretical Understanding of Urban Reciprocity</t>
        </is>
      </c>
      <c r="C130" t="n">
        <v>2024</v>
      </c>
      <c r="D130" t="inlineStr">
        <is>
          <t>Urvashi Purohit; Mayuresh Gorey</t>
        </is>
      </c>
      <c r="E130" t="inlineStr">
        <is>
          <t>Zenodo (CERN European Organization for Nuclear Research)</t>
        </is>
      </c>
      <c r="F130" t="inlineStr">
        <is>
          <t>conference-paper</t>
        </is>
      </c>
      <c r="G130" t="inlineStr">
        <is>
          <t>10.5281/zenodo.20117433</t>
        </is>
      </c>
      <c r="H130" t="inlineStr">
        <is>
          <t>W7160870685</t>
        </is>
      </c>
      <c r="I130" t="inlineStr">
        <is>
          <t>https://doi.org/10.5281/zenodo.20117433</t>
        </is>
      </c>
      <c r="J130" t="inlineStr">
        <is>
          <t>https://doi.org/10.5281/zenodo.20117433</t>
        </is>
      </c>
      <c r="K130" t="n">
        <v>0</v>
      </c>
      <c r="L130" t="inlineStr">
        <is>
          <t>A</t>
        </is>
      </c>
      <c r="M130" t="inlineStr">
        <is>
          <t>A9</t>
        </is>
      </c>
      <c r="N130" t="inlineStr"/>
      <c r="O130" t="inlineStr">
        <is>
          <t>India; Mumbai</t>
        </is>
      </c>
      <c r="P130" t="inlineStr">
        <is>
          <t>South Asia</t>
        </is>
      </c>
      <c r="Q130" t="inlineStr">
        <is>
          <t>Y</t>
        </is>
      </c>
      <c r="R130" t="inlineStr"/>
      <c r="S130" t="inlineStr"/>
      <c r="T130" t="inlineStr">
        <is>
          <t>conceptual</t>
        </is>
      </c>
      <c r="U130" t="inlineStr"/>
      <c r="V130" t="inlineStr"/>
      <c r="W130" t="inlineStr">
        <is>
          <t>auto: This research focuses on the cityof Mumbai, the financial capital of India, and attempts to identify the specific relationships that street vendingactivities develop with the public spaces within which they are conducted and the impacts it has on thesespaces.</t>
        </is>
      </c>
      <c r="X130" t="inlineStr"/>
      <c r="Y130" t="inlineStr"/>
      <c r="Z130" t="inlineStr">
        <is>
          <t>high</t>
        </is>
      </c>
      <c r="AA130" t="inlineStr">
        <is>
          <t>A9:india</t>
        </is>
      </c>
      <c r="AB130" t="inlineStr"/>
      <c r="AC130" t="n">
        <v>0</v>
      </c>
    </row>
    <row r="131">
      <c r="A131" t="inlineStr">
        <is>
          <t>LM00130</t>
        </is>
      </c>
      <c r="B131" t="inlineStr">
        <is>
          <t>Public Space for Public Good: Making Privately Owned Public Spaces in Vancouver More Inclusive and Supportive</t>
        </is>
      </c>
      <c r="C131" t="n">
        <v>2023</v>
      </c>
      <c r="D131" t="inlineStr">
        <is>
          <t>Fraser, Madison</t>
        </is>
      </c>
      <c r="E131" t="inlineStr">
        <is>
          <t>DalSpace (Dalhousie University)</t>
        </is>
      </c>
      <c r="F131" t="inlineStr">
        <is>
          <t>article</t>
        </is>
      </c>
      <c r="G131" t="inlineStr"/>
      <c r="H131" t="inlineStr">
        <is>
          <t>W7207261412</t>
        </is>
      </c>
      <c r="I131" t="inlineStr">
        <is>
          <t>http://hdl.handle.net/10222/82751</t>
        </is>
      </c>
      <c r="J131" t="inlineStr"/>
      <c r="K131" t="n">
        <v>0</v>
      </c>
      <c r="L131" t="inlineStr">
        <is>
          <t>A</t>
        </is>
      </c>
      <c r="M131" t="inlineStr">
        <is>
          <t>A9</t>
        </is>
      </c>
      <c r="N131" t="inlineStr"/>
      <c r="O131" t="inlineStr">
        <is>
          <t>Vancouver</t>
        </is>
      </c>
      <c r="P131" t="inlineStr">
        <is>
          <t>Global North</t>
        </is>
      </c>
      <c r="Q131" t="inlineStr"/>
      <c r="R131" t="inlineStr"/>
      <c r="S131" t="inlineStr"/>
      <c r="T131" t="inlineStr">
        <is>
          <t>conceptual</t>
        </is>
      </c>
      <c r="U131" t="inlineStr"/>
      <c r="V131" t="inlineStr"/>
      <c r="W131" t="inlineStr">
        <is>
          <t>auto: This thesis examines the influence and effects of privatisation to support arguments for improved policy regarding Privately Owned Public Space (POPS).</t>
        </is>
      </c>
      <c r="X131" t="inlineStr"/>
      <c r="Y131" t="inlineStr"/>
      <c r="Z131" t="inlineStr">
        <is>
          <t>high</t>
        </is>
      </c>
      <c r="AA131" t="inlineStr">
        <is>
          <t>A9:recent</t>
        </is>
      </c>
      <c r="AB131" t="inlineStr"/>
      <c r="AC131" t="n">
        <v>0</v>
      </c>
    </row>
    <row r="132">
      <c r="A132" t="inlineStr">
        <is>
          <t>LM00131</t>
        </is>
      </c>
      <c r="B132" t="inlineStr">
        <is>
          <t>Surveillance as social sorting : privacy, risk, and digital discrimination</t>
        </is>
      </c>
      <c r="C132" t="n">
        <v>2003</v>
      </c>
      <c r="D132" t="inlineStr">
        <is>
          <t>David Lyon</t>
        </is>
      </c>
      <c r="E132" t="inlineStr"/>
      <c r="F132" t="inlineStr">
        <is>
          <t>article</t>
        </is>
      </c>
      <c r="G132" t="inlineStr"/>
      <c r="H132" t="inlineStr">
        <is>
          <t>W584600887</t>
        </is>
      </c>
      <c r="I132" t="inlineStr">
        <is>
          <t>http://bvbr.bib-bvb.de:8991/F?func=service&amp;amp;doc_library=BVB01&amp;amp;local_base=BVB01&amp;amp;doc_number=019919591&amp;amp;sequence=000001&amp;amp;line_number=0001&amp;amp;func_code=DB_RECORDS&amp;amp;service_type=MEDIA</t>
        </is>
      </c>
      <c r="J132" t="inlineStr"/>
      <c r="K132" t="n">
        <v>875</v>
      </c>
      <c r="L132" t="inlineStr">
        <is>
          <t>B</t>
        </is>
      </c>
      <c r="M132" t="inlineStr">
        <is>
          <t>B5</t>
        </is>
      </c>
      <c r="N132" t="inlineStr"/>
      <c r="O132" t="inlineStr">
        <is>
          <t>Canada</t>
        </is>
      </c>
      <c r="P132" t="inlineStr">
        <is>
          <t>Global North</t>
        </is>
      </c>
      <c r="Q132" t="inlineStr"/>
      <c r="R132" t="inlineStr"/>
      <c r="S132" t="inlineStr"/>
      <c r="T132" t="inlineStr">
        <is>
          <t>qualitative</t>
        </is>
      </c>
      <c r="U132" t="inlineStr">
        <is>
          <t>Y</t>
        </is>
      </c>
      <c r="V132" t="inlineStr"/>
      <c r="W132" t="inlineStr">
        <is>
          <t>auto: Part One: Orientations 1.</t>
        </is>
      </c>
      <c r="X132" t="inlineStr"/>
      <c r="Y132" t="inlineStr"/>
      <c r="Z132" t="inlineStr">
        <is>
          <t>medium</t>
        </is>
      </c>
      <c r="AA132" t="inlineStr">
        <is>
          <t>B5:landmarks</t>
        </is>
      </c>
      <c r="AB132" t="inlineStr"/>
      <c r="AC132" t="n">
        <v>52.5136</v>
      </c>
    </row>
    <row r="133">
      <c r="A133" t="inlineStr">
        <is>
          <t>LM00132</t>
        </is>
      </c>
      <c r="B133" t="inlineStr">
        <is>
          <t>Documenting individual identity : the development of state practices in the modern world</t>
        </is>
      </c>
      <c r="C133" t="n">
        <v>2001</v>
      </c>
      <c r="D133" t="inlineStr">
        <is>
          <t>Jane Caplan; John C. Torpey</t>
        </is>
      </c>
      <c r="E133" t="inlineStr"/>
      <c r="F133" t="inlineStr">
        <is>
          <t>article</t>
        </is>
      </c>
      <c r="G133" t="inlineStr"/>
      <c r="H133" t="inlineStr">
        <is>
          <t>W1590591717</t>
        </is>
      </c>
      <c r="I133" t="inlineStr">
        <is>
          <t>http://www.loc.gov/catdir/toc/prin031/2001036273.html</t>
        </is>
      </c>
      <c r="J133" t="inlineStr"/>
      <c r="K133" t="n">
        <v>656</v>
      </c>
      <c r="L133" t="inlineStr">
        <is>
          <t>B</t>
        </is>
      </c>
      <c r="M133" t="inlineStr">
        <is>
          <t>B5</t>
        </is>
      </c>
      <c r="N133" t="inlineStr"/>
      <c r="O133" t="inlineStr">
        <is>
          <t>Argentina; Europe; France; Germany; Netherlands; Russia; Rwanda; United Kingdom</t>
        </is>
      </c>
      <c r="P133" t="inlineStr">
        <is>
          <t>Multi-region</t>
        </is>
      </c>
      <c r="Q133" t="inlineStr"/>
      <c r="R133" t="inlineStr"/>
      <c r="S133" t="inlineStr"/>
      <c r="T133" t="inlineStr">
        <is>
          <t>conceptual</t>
        </is>
      </c>
      <c r="U133" t="inlineStr">
        <is>
          <t>Y</t>
        </is>
      </c>
      <c r="V133" t="inlineStr"/>
      <c r="W133" t="inlineStr">
        <is>
          <t>auto: Acknowledgments ix Introduction: Jane Caplan and John Torpey 1 PART ONE: CREATING APPARATUSES OF IDENTIFICATION 13 1.</t>
        </is>
      </c>
      <c r="X133" t="inlineStr"/>
      <c r="Y133" t="inlineStr"/>
      <c r="Z133" t="inlineStr">
        <is>
          <t>medium</t>
        </is>
      </c>
      <c r="AA133" t="inlineStr">
        <is>
          <t>B5:landmarks</t>
        </is>
      </c>
      <c r="AB133" t="inlineStr"/>
      <c r="AC133" t="n">
        <v>193.349</v>
      </c>
    </row>
    <row r="134">
      <c r="A134" t="inlineStr">
        <is>
          <t>LM00133</t>
        </is>
      </c>
      <c r="B134" t="inlineStr">
        <is>
          <t>Beyond Fear: Thinking Sensibly About Security in an Uncertain World</t>
        </is>
      </c>
      <c r="C134" t="n">
        <v>2003</v>
      </c>
      <c r="D134" t="inlineStr">
        <is>
          <t>Bruce Schneier</t>
        </is>
      </c>
      <c r="E134" t="inlineStr">
        <is>
          <t>CERN Document Server (European Organization for Nuclear Research)</t>
        </is>
      </c>
      <c r="F134" t="inlineStr">
        <is>
          <t>article</t>
        </is>
      </c>
      <c r="G134" t="inlineStr">
        <is>
          <t>10.1007/b97547</t>
        </is>
      </c>
      <c r="H134" t="inlineStr">
        <is>
          <t>W1487646227</t>
        </is>
      </c>
      <c r="I134" t="inlineStr">
        <is>
          <t>https://doi.org/10.1007/b97547</t>
        </is>
      </c>
      <c r="J134" t="inlineStr"/>
      <c r="K134" t="n">
        <v>372</v>
      </c>
      <c r="L134" t="inlineStr">
        <is>
          <t>B</t>
        </is>
      </c>
      <c r="M134" t="inlineStr">
        <is>
          <t>B5</t>
        </is>
      </c>
      <c r="N134" t="inlineStr"/>
      <c r="O134" t="inlineStr"/>
      <c r="P134" t="inlineStr">
        <is>
          <t>Not place-specific</t>
        </is>
      </c>
      <c r="Q134" t="inlineStr"/>
      <c r="R134" t="inlineStr"/>
      <c r="S134" t="inlineStr"/>
      <c r="T134" t="inlineStr">
        <is>
          <t>conceptual</t>
        </is>
      </c>
      <c r="U134" t="inlineStr">
        <is>
          <t>Y</t>
        </is>
      </c>
      <c r="V134" t="inlineStr"/>
      <c r="W134" t="inlineStr">
        <is>
          <t>auto: Many of us, especially since 9/11, have become personally concerned about issues of security, and this is no surprise.</t>
        </is>
      </c>
      <c r="X134" t="inlineStr"/>
      <c r="Y134" t="inlineStr"/>
      <c r="Z134" t="inlineStr">
        <is>
          <t>medium</t>
        </is>
      </c>
      <c r="AA134" t="inlineStr">
        <is>
          <t>B5:landmarks</t>
        </is>
      </c>
      <c r="AB134" t="inlineStr"/>
      <c r="AC134" t="n">
        <v>37.2311</v>
      </c>
    </row>
    <row r="135">
      <c r="A135" t="inlineStr">
        <is>
          <t>LM00134</t>
        </is>
      </c>
      <c r="B135" t="inlineStr">
        <is>
          <t>Cartographic Anxiety: Mapping the Body Politic in India</t>
        </is>
      </c>
      <c r="C135" t="n">
        <v>1994</v>
      </c>
      <c r="D135" t="inlineStr">
        <is>
          <t>Sankaran Krishna</t>
        </is>
      </c>
      <c r="E135" t="inlineStr">
        <is>
          <t>Alternatives Global Local Political</t>
        </is>
      </c>
      <c r="F135" t="inlineStr">
        <is>
          <t>article</t>
        </is>
      </c>
      <c r="G135" t="inlineStr">
        <is>
          <t>10.1177/030437549401900404</t>
        </is>
      </c>
      <c r="H135" t="inlineStr">
        <is>
          <t>W89782422</t>
        </is>
      </c>
      <c r="I135" t="inlineStr">
        <is>
          <t>https://doi.org/10.1177/030437549401900404</t>
        </is>
      </c>
      <c r="J135" t="inlineStr"/>
      <c r="K135" t="n">
        <v>337</v>
      </c>
      <c r="L135" t="inlineStr">
        <is>
          <t>B</t>
        </is>
      </c>
      <c r="M135" t="inlineStr">
        <is>
          <t>B5</t>
        </is>
      </c>
      <c r="N135" t="inlineStr"/>
      <c r="O135" t="inlineStr">
        <is>
          <t>India</t>
        </is>
      </c>
      <c r="P135" t="inlineStr">
        <is>
          <t>South Asia</t>
        </is>
      </c>
      <c r="Q135" t="inlineStr">
        <is>
          <t>Y</t>
        </is>
      </c>
      <c r="R135" t="inlineStr"/>
      <c r="S135" t="inlineStr"/>
      <c r="T135" t="inlineStr">
        <is>
          <t>unclear</t>
        </is>
      </c>
      <c r="U135" t="inlineStr">
        <is>
          <t>Y</t>
        </is>
      </c>
      <c r="V135" t="inlineStr"/>
      <c r="W135" t="inlineStr">
        <is>
          <t>auto: The parliamentary elections of May 1991 in India were disrupted by the assassination of the former prime minister, Rajiv Gandhi.</t>
        </is>
      </c>
      <c r="X135" t="inlineStr"/>
      <c r="Y135" t="inlineStr"/>
      <c r="Z135" t="inlineStr">
        <is>
          <t>medium</t>
        </is>
      </c>
      <c r="AA135" t="inlineStr">
        <is>
          <t>B5:landmarks</t>
        </is>
      </c>
      <c r="AB135" t="inlineStr"/>
      <c r="AC135" t="n">
        <v>11.1013</v>
      </c>
    </row>
    <row r="136">
      <c r="A136" t="inlineStr">
        <is>
          <t>LM00135</t>
        </is>
      </c>
      <c r="B136" t="inlineStr">
        <is>
          <t>Security and Privacy Issues in E-passports</t>
        </is>
      </c>
      <c r="C136" t="n">
        <v>2006</v>
      </c>
      <c r="D136" t="inlineStr">
        <is>
          <t>Ari Juels; D. Molnar; David A. Wagner</t>
        </is>
      </c>
      <c r="E136" t="inlineStr"/>
      <c r="F136" t="inlineStr">
        <is>
          <t>conference-paper</t>
        </is>
      </c>
      <c r="G136" t="inlineStr">
        <is>
          <t>10.1109/securecomm.2005.59</t>
        </is>
      </c>
      <c r="H136" t="inlineStr">
        <is>
          <t>W1485497075</t>
        </is>
      </c>
      <c r="I136" t="inlineStr">
        <is>
          <t>https://doi.org/10.1109/securecomm.2005.59</t>
        </is>
      </c>
      <c r="J136" t="inlineStr"/>
      <c r="K136" t="n">
        <v>309</v>
      </c>
      <c r="L136" t="inlineStr">
        <is>
          <t>B</t>
        </is>
      </c>
      <c r="M136" t="inlineStr">
        <is>
          <t>B5</t>
        </is>
      </c>
      <c r="N136" t="inlineStr"/>
      <c r="O136" t="inlineStr">
        <is>
          <t>United States</t>
        </is>
      </c>
      <c r="P136" t="inlineStr">
        <is>
          <t>Global North</t>
        </is>
      </c>
      <c r="Q136" t="inlineStr"/>
      <c r="R136" t="inlineStr"/>
      <c r="S136" t="inlineStr"/>
      <c r="T136" t="inlineStr">
        <is>
          <t>unclear</t>
        </is>
      </c>
      <c r="U136" t="inlineStr">
        <is>
          <t>Y</t>
        </is>
      </c>
      <c r="V136" t="inlineStr"/>
      <c r="W136" t="inlineStr">
        <is>
          <t>auto: We explore the privacy and security implications of this impending worldwide experiment in next-generation authentication technology.</t>
        </is>
      </c>
      <c r="X136" t="inlineStr"/>
      <c r="Y136" t="inlineStr"/>
      <c r="Z136" t="inlineStr">
        <is>
          <t>high</t>
        </is>
      </c>
      <c r="AA136" t="inlineStr">
        <is>
          <t>B5:landmarks</t>
        </is>
      </c>
      <c r="AB136" t="inlineStr"/>
      <c r="AC136" t="n">
        <v>43.6959</v>
      </c>
    </row>
    <row r="137">
      <c r="A137" t="inlineStr">
        <is>
          <t>LM00136</t>
        </is>
      </c>
      <c r="B137" t="inlineStr">
        <is>
          <t>E-residency and blockchain</t>
        </is>
      </c>
      <c r="C137" t="n">
        <v>2017</v>
      </c>
      <c r="D137" t="inlineStr">
        <is>
          <t>Clare Sullivan; Eric Burger</t>
        </is>
      </c>
      <c r="E137" t="inlineStr">
        <is>
          <t>Computer law &amp; security review</t>
        </is>
      </c>
      <c r="F137" t="inlineStr">
        <is>
          <t>article</t>
        </is>
      </c>
      <c r="G137" t="inlineStr">
        <is>
          <t>10.1016/j.clsr.2017.03.016</t>
        </is>
      </c>
      <c r="H137" t="inlineStr">
        <is>
          <t>W2327198637</t>
        </is>
      </c>
      <c r="I137" t="inlineStr">
        <is>
          <t>https://doi.org/10.1016/j.clsr.2017.03.016</t>
        </is>
      </c>
      <c r="J137" t="inlineStr">
        <is>
          <t>https://doi.org/10.1016/j.clsr.2017.03.016</t>
        </is>
      </c>
      <c r="K137" t="n">
        <v>271</v>
      </c>
      <c r="L137" t="inlineStr">
        <is>
          <t>B</t>
        </is>
      </c>
      <c r="M137" t="inlineStr">
        <is>
          <t>B5</t>
        </is>
      </c>
      <c r="N137" t="inlineStr"/>
      <c r="O137" t="inlineStr"/>
      <c r="P137" t="inlineStr">
        <is>
          <t>Not place-specific</t>
        </is>
      </c>
      <c r="Q137" t="inlineStr"/>
      <c r="R137" t="inlineStr"/>
      <c r="S137" t="inlineStr"/>
      <c r="T137" t="inlineStr">
        <is>
          <t>unclear</t>
        </is>
      </c>
      <c r="U137" t="inlineStr">
        <is>
          <t>Y</t>
        </is>
      </c>
      <c r="V137" t="inlineStr"/>
      <c r="W137" t="inlineStr"/>
      <c r="X137" t="inlineStr"/>
      <c r="Y137" t="inlineStr"/>
      <c r="Z137" t="inlineStr">
        <is>
          <t>low</t>
        </is>
      </c>
      <c r="AA137" t="inlineStr">
        <is>
          <t>B5:landmarks</t>
        </is>
      </c>
      <c r="AB137" t="inlineStr"/>
      <c r="AC137" t="n">
        <v>52.4896</v>
      </c>
    </row>
    <row r="138">
      <c r="A138" t="inlineStr">
        <is>
          <t>LM00137</t>
        </is>
      </c>
      <c r="B138" t="inlineStr">
        <is>
          <t>Digital Epidermalization: Race, Identity and Biometrics</t>
        </is>
      </c>
      <c r="C138" t="n">
        <v>2010</v>
      </c>
      <c r="D138" t="inlineStr">
        <is>
          <t>Simone Browne</t>
        </is>
      </c>
      <c r="E138" t="inlineStr">
        <is>
          <t>Critical Sociology</t>
        </is>
      </c>
      <c r="F138" t="inlineStr">
        <is>
          <t>article</t>
        </is>
      </c>
      <c r="G138" t="inlineStr">
        <is>
          <t>10.1177/0896920509347144</t>
        </is>
      </c>
      <c r="H138" t="inlineStr">
        <is>
          <t>W2009404140</t>
        </is>
      </c>
      <c r="I138" t="inlineStr">
        <is>
          <t>https://doi.org/10.1177/0896920509347144</t>
        </is>
      </c>
      <c r="J138" t="inlineStr"/>
      <c r="K138" t="n">
        <v>254</v>
      </c>
      <c r="L138" t="inlineStr">
        <is>
          <t>B</t>
        </is>
      </c>
      <c r="M138" t="inlineStr">
        <is>
          <t>B5</t>
        </is>
      </c>
      <c r="N138" t="inlineStr"/>
      <c r="O138" t="inlineStr">
        <is>
          <t>Canada; India</t>
        </is>
      </c>
      <c r="P138" t="inlineStr">
        <is>
          <t>Multi-region</t>
        </is>
      </c>
      <c r="Q138" t="inlineStr">
        <is>
          <t>Y</t>
        </is>
      </c>
      <c r="R138" t="inlineStr"/>
      <c r="S138" t="inlineStr"/>
      <c r="T138" t="inlineStr">
        <is>
          <t>unclear</t>
        </is>
      </c>
      <c r="U138" t="inlineStr">
        <is>
          <t>Y</t>
        </is>
      </c>
      <c r="V138" t="inlineStr"/>
      <c r="W138" t="inlineStr">
        <is>
          <t>auto: This article considers the ways in which what Paul Gilroy terms ‘epidermal thinking’ operates in the discourses surrounding certain surveillance practices and their applications, with a focus on identification documents and biometric technologies in particular.</t>
        </is>
      </c>
      <c r="X138" t="inlineStr"/>
      <c r="Y138" t="inlineStr"/>
      <c r="Z138" t="inlineStr">
        <is>
          <t>high</t>
        </is>
      </c>
      <c r="AA138" t="inlineStr">
        <is>
          <t>B5:landmarks</t>
        </is>
      </c>
      <c r="AB138" t="inlineStr"/>
      <c r="AC138" t="n">
        <v>30.1</v>
      </c>
    </row>
    <row r="139">
      <c r="A139" t="inlineStr">
        <is>
          <t>LM00138</t>
        </is>
      </c>
      <c r="B139" t="inlineStr">
        <is>
          <t>‘The body does not lie’: Identity, risk and trust in technoculture</t>
        </is>
      </c>
      <c r="C139" t="n">
        <v>2006</v>
      </c>
      <c r="D139" t="inlineStr">
        <is>
          <t>Katja Franko</t>
        </is>
      </c>
      <c r="E139" t="inlineStr">
        <is>
          <t>Crime Media Culture An International Journal</t>
        </is>
      </c>
      <c r="F139" t="inlineStr">
        <is>
          <t>article</t>
        </is>
      </c>
      <c r="G139" t="inlineStr">
        <is>
          <t>10.1177/1741659006065401</t>
        </is>
      </c>
      <c r="H139" t="inlineStr">
        <is>
          <t>W2132599261</t>
        </is>
      </c>
      <c r="I139" t="inlineStr">
        <is>
          <t>https://doi.org/10.1177/1741659006065401</t>
        </is>
      </c>
      <c r="J139" t="inlineStr"/>
      <c r="K139" t="n">
        <v>222</v>
      </c>
      <c r="L139" t="inlineStr">
        <is>
          <t>B</t>
        </is>
      </c>
      <c r="M139" t="inlineStr">
        <is>
          <t>B5</t>
        </is>
      </c>
      <c r="N139" t="inlineStr"/>
      <c r="O139" t="inlineStr"/>
      <c r="P139" t="inlineStr">
        <is>
          <t>Not place-specific</t>
        </is>
      </c>
      <c r="Q139" t="inlineStr"/>
      <c r="R139" t="inlineStr"/>
      <c r="S139" t="inlineStr"/>
      <c r="T139" t="inlineStr">
        <is>
          <t>unclear</t>
        </is>
      </c>
      <c r="U139" t="inlineStr">
        <is>
          <t>Y</t>
        </is>
      </c>
      <c r="V139" t="inlineStr"/>
      <c r="W139" t="inlineStr">
        <is>
          <t>auto: The article suggests that surveillance of the body is gradually becoming a major source of identification, as well as a vital element of late-modern mechanisms of social exclusion.</t>
        </is>
      </c>
      <c r="X139" t="inlineStr"/>
      <c r="Y139" t="inlineStr"/>
      <c r="Z139" t="inlineStr">
        <is>
          <t>high</t>
        </is>
      </c>
      <c r="AA139" t="inlineStr">
        <is>
          <t>B5:landmarks</t>
        </is>
      </c>
      <c r="AB139" t="inlineStr"/>
      <c r="AC139" t="n">
        <v>11.5151</v>
      </c>
    </row>
    <row r="140">
      <c r="A140" t="inlineStr">
        <is>
          <t>LM00139</t>
        </is>
      </c>
      <c r="B140" t="inlineStr">
        <is>
          <t>(Dis)qualified bodies: securitization, citizenship and ‘identity management’</t>
        </is>
      </c>
      <c r="C140" t="n">
        <v>2004</v>
      </c>
      <c r="D140" t="inlineStr">
        <is>
          <t>Benjamin Müller</t>
        </is>
      </c>
      <c r="E140" t="inlineStr">
        <is>
          <t>Citizenship Studies</t>
        </is>
      </c>
      <c r="F140" t="inlineStr">
        <is>
          <t>article</t>
        </is>
      </c>
      <c r="G140" t="inlineStr">
        <is>
          <t>10.1080/1362102042000257005</t>
        </is>
      </c>
      <c r="H140" t="inlineStr">
        <is>
          <t>W2073749353</t>
        </is>
      </c>
      <c r="I140" t="inlineStr">
        <is>
          <t>https://doi.org/10.1080/1362102042000257005</t>
        </is>
      </c>
      <c r="J140" t="inlineStr"/>
      <c r="K140" t="n">
        <v>197</v>
      </c>
      <c r="L140" t="inlineStr">
        <is>
          <t>B</t>
        </is>
      </c>
      <c r="M140" t="inlineStr">
        <is>
          <t>B5</t>
        </is>
      </c>
      <c r="N140" t="inlineStr"/>
      <c r="O140" t="inlineStr"/>
      <c r="P140" t="inlineStr">
        <is>
          <t>Not place-specific</t>
        </is>
      </c>
      <c r="Q140" t="inlineStr"/>
      <c r="R140" t="inlineStr"/>
      <c r="S140" t="inlineStr"/>
      <c r="T140" t="inlineStr">
        <is>
          <t>unclear</t>
        </is>
      </c>
      <c r="U140" t="inlineStr">
        <is>
          <t>Y</t>
        </is>
      </c>
      <c r="V140" t="inlineStr"/>
      <c r="W140" t="inlineStr">
        <is>
          <t>auto: This article attempts to think citizenship politics in the international security context of a post‐September 11th world.</t>
        </is>
      </c>
      <c r="X140" t="inlineStr"/>
      <c r="Y140" t="inlineStr"/>
      <c r="Z140" t="inlineStr">
        <is>
          <t>high</t>
        </is>
      </c>
      <c r="AA140" t="inlineStr">
        <is>
          <t>B5:landmarks</t>
        </is>
      </c>
      <c r="AB140" t="inlineStr"/>
      <c r="AC140" t="n">
        <v>18.9498</v>
      </c>
    </row>
    <row r="141">
      <c r="A141" t="inlineStr">
        <is>
          <t>LM00140</t>
        </is>
      </c>
      <c r="B141" t="inlineStr">
        <is>
          <t>When Biometrics Fail: Gender, Race, and the Technology of Identity</t>
        </is>
      </c>
      <c r="C141" t="n">
        <v>2011</v>
      </c>
      <c r="D141" t="inlineStr">
        <is>
          <t>Shoshana Amielle Magnet</t>
        </is>
      </c>
      <c r="E141" t="inlineStr">
        <is>
          <t>Project Muse (Johns Hopkins University)</t>
        </is>
      </c>
      <c r="F141" t="inlineStr">
        <is>
          <t>article</t>
        </is>
      </c>
      <c r="G141" t="inlineStr"/>
      <c r="H141" t="inlineStr">
        <is>
          <t>W2482717051</t>
        </is>
      </c>
      <c r="I141" t="inlineStr">
        <is>
          <t>https://muse.jhu.edu/pub/4/monograph/book/70318</t>
        </is>
      </c>
      <c r="J141" t="inlineStr"/>
      <c r="K141" t="n">
        <v>197</v>
      </c>
      <c r="L141" t="inlineStr">
        <is>
          <t>B</t>
        </is>
      </c>
      <c r="M141" t="inlineStr">
        <is>
          <t>B5</t>
        </is>
      </c>
      <c r="N141" t="inlineStr"/>
      <c r="O141" t="inlineStr"/>
      <c r="P141" t="inlineStr">
        <is>
          <t>Not place-specific</t>
        </is>
      </c>
      <c r="Q141" t="inlineStr"/>
      <c r="R141" t="inlineStr"/>
      <c r="S141" t="inlineStr"/>
      <c r="T141" t="inlineStr">
        <is>
          <t>unclear</t>
        </is>
      </c>
      <c r="U141" t="inlineStr">
        <is>
          <t>Y</t>
        </is>
      </c>
      <c r="V141" t="inlineStr"/>
      <c r="W141" t="inlineStr">
        <is>
          <t>auto: From digital fingerprinting to iris and retina recognition, biometric identification systems are a multibillion dollar industry and an integral part of post-9/11 national security strategy.</t>
        </is>
      </c>
      <c r="X141" t="inlineStr"/>
      <c r="Y141" t="inlineStr"/>
      <c r="Z141" t="inlineStr">
        <is>
          <t>high</t>
        </is>
      </c>
      <c r="AA141" t="inlineStr">
        <is>
          <t>B5:landmarks</t>
        </is>
      </c>
      <c r="AB141" t="inlineStr"/>
      <c r="AC141" t="n">
        <v>10.7348</v>
      </c>
    </row>
    <row r="142">
      <c r="A142" t="inlineStr">
        <is>
          <t>LM00141</t>
        </is>
      </c>
      <c r="B142" t="inlineStr">
        <is>
          <t>The humanitarian intervention debate</t>
        </is>
      </c>
      <c r="C142" t="n">
        <v>2003</v>
      </c>
      <c r="D142" t="inlineStr">
        <is>
          <t>J. L. Holzgrefe</t>
        </is>
      </c>
      <c r="E142" t="inlineStr">
        <is>
          <t>Cambridge University Press eBooks</t>
        </is>
      </c>
      <c r="F142" t="inlineStr">
        <is>
          <t>book-chapter</t>
        </is>
      </c>
      <c r="G142" t="inlineStr">
        <is>
          <t>10.1017/cbo9780511494000.002</t>
        </is>
      </c>
      <c r="H142" t="inlineStr">
        <is>
          <t>W1549851572</t>
        </is>
      </c>
      <c r="I142" t="inlineStr">
        <is>
          <t>https://doi.org/10.1017/cbo9780511494000.002</t>
        </is>
      </c>
      <c r="J142" t="inlineStr"/>
      <c r="K142" t="n">
        <v>192</v>
      </c>
      <c r="L142" t="inlineStr">
        <is>
          <t>B</t>
        </is>
      </c>
      <c r="M142" t="inlineStr">
        <is>
          <t>B5</t>
        </is>
      </c>
      <c r="N142" t="inlineStr"/>
      <c r="O142" t="inlineStr">
        <is>
          <t>Kigali; Rwanda</t>
        </is>
      </c>
      <c r="P142" t="inlineStr">
        <is>
          <t>Africa</t>
        </is>
      </c>
      <c r="Q142" t="inlineStr"/>
      <c r="R142" t="inlineStr"/>
      <c r="S142" t="inlineStr"/>
      <c r="T142" t="inlineStr">
        <is>
          <t>conceptual</t>
        </is>
      </c>
      <c r="U142" t="inlineStr">
        <is>
          <t>Y</t>
        </is>
      </c>
      <c r="V142" t="inlineStr"/>
      <c r="W142" t="inlineStr">
        <is>
          <t>auto: On 6 April 1994, President Habyarimana of Rwanda and several top government officials were killed when their plane was shot down by a surface-to-air missile on its approach to Kigali airport.</t>
        </is>
      </c>
      <c r="X142" t="inlineStr"/>
      <c r="Y142" t="inlineStr"/>
      <c r="Z142" t="inlineStr">
        <is>
          <t>medium</t>
        </is>
      </c>
      <c r="AA142" t="inlineStr">
        <is>
          <t>B5:landmarks</t>
        </is>
      </c>
      <c r="AB142" t="inlineStr"/>
      <c r="AC142" t="n">
        <v>66.6778</v>
      </c>
    </row>
    <row r="143">
      <c r="A143" t="inlineStr">
        <is>
          <t>LM00142</t>
        </is>
      </c>
      <c r="B143" t="inlineStr">
        <is>
          <t>Global surveillance and policing : borders, security, identity</t>
        </is>
      </c>
      <c r="C143" t="n">
        <v>2005</v>
      </c>
      <c r="D143" t="inlineStr">
        <is>
          <t>Elia T. Zureik; Mark B. Salter</t>
        </is>
      </c>
      <c r="E143" t="inlineStr"/>
      <c r="F143" t="inlineStr">
        <is>
          <t>article</t>
        </is>
      </c>
      <c r="G143" t="inlineStr"/>
      <c r="H143" t="inlineStr">
        <is>
          <t>W642710574</t>
        </is>
      </c>
      <c r="I143" t="inlineStr">
        <is>
          <t>http://bvbr.bib-bvb.de:8991/F?func=service&amp;amp;doc_library=BVB01&amp;amp;local_base=BVB01&amp;amp;doc_number=014951664&amp;amp;sequence=000001&amp;amp;line_number=0001&amp;amp;func_code=DB_RECORDS&amp;amp;service_type=MEDIA</t>
        </is>
      </c>
      <c r="J143" t="inlineStr"/>
      <c r="K143" t="n">
        <v>192</v>
      </c>
      <c r="L143" t="inlineStr">
        <is>
          <t>B</t>
        </is>
      </c>
      <c r="M143" t="inlineStr">
        <is>
          <t>B5</t>
        </is>
      </c>
      <c r="N143" t="inlineStr"/>
      <c r="O143" t="inlineStr">
        <is>
          <t>Europe</t>
        </is>
      </c>
      <c r="P143" t="inlineStr">
        <is>
          <t>Global North</t>
        </is>
      </c>
      <c r="Q143" t="inlineStr"/>
      <c r="R143" t="inlineStr"/>
      <c r="S143" t="inlineStr"/>
      <c r="T143" t="inlineStr">
        <is>
          <t>conceptual</t>
        </is>
      </c>
      <c r="U143" t="inlineStr">
        <is>
          <t>Y</t>
        </is>
      </c>
      <c r="V143" t="inlineStr"/>
      <c r="W143" t="inlineStr">
        <is>
          <t>auto: Global surveillance and policing: borders, security, identity - Introduction by Elia Zureik and Mark B.</t>
        </is>
      </c>
      <c r="X143" t="inlineStr"/>
      <c r="Y143" t="inlineStr"/>
      <c r="Z143" t="inlineStr">
        <is>
          <t>high</t>
        </is>
      </c>
      <c r="AA143" t="inlineStr">
        <is>
          <t>B5:landmarks</t>
        </is>
      </c>
      <c r="AB143" t="inlineStr"/>
      <c r="AC143" t="n">
        <v>43.3586</v>
      </c>
    </row>
    <row r="144">
      <c r="A144" t="inlineStr">
        <is>
          <t>LM00143</t>
        </is>
      </c>
      <c r="B144" t="inlineStr">
        <is>
          <t>Identification for Development: The Biometrics Revolution</t>
        </is>
      </c>
      <c r="C144" t="n">
        <v>2013</v>
      </c>
      <c r="D144" t="inlineStr">
        <is>
          <t>Alan H. Gelb; Julia Clark</t>
        </is>
      </c>
      <c r="E144" t="inlineStr">
        <is>
          <t>SSRN Electronic Journal</t>
        </is>
      </c>
      <c r="F144" t="inlineStr">
        <is>
          <t>preprint</t>
        </is>
      </c>
      <c r="G144" t="inlineStr">
        <is>
          <t>10.2139/ssrn.2226594</t>
        </is>
      </c>
      <c r="H144" t="inlineStr">
        <is>
          <t>W1755767712</t>
        </is>
      </c>
      <c r="I144" t="inlineStr">
        <is>
          <t>https://doi.org/10.2139/ssrn.2226594</t>
        </is>
      </c>
      <c r="J144" t="inlineStr">
        <is>
          <t>https://doi.org/10.2139/ssrn.2226594</t>
        </is>
      </c>
      <c r="K144" t="n">
        <v>174</v>
      </c>
      <c r="L144" t="inlineStr">
        <is>
          <t>B</t>
        </is>
      </c>
      <c r="M144" t="inlineStr">
        <is>
          <t>B5</t>
        </is>
      </c>
      <c r="N144" t="inlineStr"/>
      <c r="O144" t="inlineStr"/>
      <c r="P144" t="inlineStr">
        <is>
          <t>Not place-specific</t>
        </is>
      </c>
      <c r="Q144" t="inlineStr"/>
      <c r="R144" t="inlineStr"/>
      <c r="S144" t="inlineStr"/>
      <c r="T144" t="inlineStr">
        <is>
          <t>unclear</t>
        </is>
      </c>
      <c r="U144" t="inlineStr">
        <is>
          <t>Y</t>
        </is>
      </c>
      <c r="V144" t="inlineStr"/>
      <c r="W144" t="inlineStr"/>
      <c r="X144" t="inlineStr"/>
      <c r="Y144" t="inlineStr"/>
      <c r="Z144" t="inlineStr">
        <is>
          <t>low</t>
        </is>
      </c>
      <c r="AA144" t="inlineStr">
        <is>
          <t>B5:landmarks</t>
        </is>
      </c>
      <c r="AB144" t="inlineStr"/>
    </row>
    <row r="145">
      <c r="A145" t="inlineStr">
        <is>
          <t>LM00144</t>
        </is>
      </c>
      <c r="B145" t="inlineStr">
        <is>
          <t>Tangible Information and Citizen Empowerment: Identification Cards and Food Subsidy Programs in Indonesia</t>
        </is>
      </c>
      <c r="C145" t="n">
        <v>2017</v>
      </c>
      <c r="D145" t="inlineStr">
        <is>
          <t>Abhijit Banerjee; Rema Hanna; Jordan Kyle; Benjamin Olken; Sudarno Sumarto</t>
        </is>
      </c>
      <c r="E145" t="inlineStr">
        <is>
          <t>Journal of Political Economy</t>
        </is>
      </c>
      <c r="F145" t="inlineStr">
        <is>
          <t>article</t>
        </is>
      </c>
      <c r="G145" t="inlineStr">
        <is>
          <t>10.1086/696226</t>
        </is>
      </c>
      <c r="H145" t="inlineStr">
        <is>
          <t>W2773945611</t>
        </is>
      </c>
      <c r="I145" t="inlineStr">
        <is>
          <t>https://doi.org/10.1086/696226</t>
        </is>
      </c>
      <c r="J145" t="inlineStr"/>
      <c r="K145" t="n">
        <v>161</v>
      </c>
      <c r="L145" t="inlineStr">
        <is>
          <t>B</t>
        </is>
      </c>
      <c r="M145" t="inlineStr">
        <is>
          <t>B5</t>
        </is>
      </c>
      <c r="N145" t="inlineStr"/>
      <c r="O145" t="inlineStr">
        <is>
          <t>Indonesia</t>
        </is>
      </c>
      <c r="P145" t="inlineStr">
        <is>
          <t>Southeast Asia</t>
        </is>
      </c>
      <c r="Q145" t="inlineStr"/>
      <c r="R145" t="inlineStr"/>
      <c r="S145" t="inlineStr"/>
      <c r="T145" t="inlineStr">
        <is>
          <t>conceptual</t>
        </is>
      </c>
      <c r="U145" t="inlineStr">
        <is>
          <t>Y</t>
        </is>
      </c>
      <c r="V145" t="inlineStr"/>
      <c r="W145" t="inlineStr">
        <is>
          <t>auto: We study one approach to reducing leakage.</t>
        </is>
      </c>
      <c r="X145" t="inlineStr"/>
      <c r="Y145" t="inlineStr"/>
      <c r="Z145" t="inlineStr">
        <is>
          <t>high</t>
        </is>
      </c>
      <c r="AA145" t="inlineStr">
        <is>
          <t>B5:landmarks</t>
        </is>
      </c>
      <c r="AB145" t="inlineStr"/>
      <c r="AC145" t="n">
        <v>25.3341</v>
      </c>
    </row>
    <row r="146">
      <c r="A146" t="inlineStr">
        <is>
          <t>LM00145</t>
        </is>
      </c>
      <c r="B146" t="inlineStr">
        <is>
          <t>Aadhaar: Governing with Biometrics</t>
        </is>
      </c>
      <c r="C146" t="n">
        <v>2019</v>
      </c>
      <c r="D146" t="inlineStr">
        <is>
          <t>Ursula Rao; Vijayanka Nair</t>
        </is>
      </c>
      <c r="E146" t="inlineStr">
        <is>
          <t>South Asia Journal of South Asian Studies</t>
        </is>
      </c>
      <c r="F146" t="inlineStr">
        <is>
          <t>article</t>
        </is>
      </c>
      <c r="G146" t="inlineStr">
        <is>
          <t>10.1080/00856401.2019.1595343</t>
        </is>
      </c>
      <c r="H146" t="inlineStr">
        <is>
          <t>W2945621989</t>
        </is>
      </c>
      <c r="I146" t="inlineStr">
        <is>
          <t>https://doi.org/10.1080/00856401.2019.1595343</t>
        </is>
      </c>
      <c r="J146" t="inlineStr">
        <is>
          <t>https://www.tandfonline.com/doi/pdf/10.1080/00856401.2019.1595343?needAccess=true&amp;role=button</t>
        </is>
      </c>
      <c r="K146" t="n">
        <v>156</v>
      </c>
      <c r="L146" t="inlineStr">
        <is>
          <t>B</t>
        </is>
      </c>
      <c r="M146" t="inlineStr">
        <is>
          <t>B5</t>
        </is>
      </c>
      <c r="N146" t="inlineStr"/>
      <c r="O146" t="inlineStr">
        <is>
          <t>India</t>
        </is>
      </c>
      <c r="P146" t="inlineStr">
        <is>
          <t>South Asia</t>
        </is>
      </c>
      <c r="Q146" t="inlineStr">
        <is>
          <t>Y</t>
        </is>
      </c>
      <c r="R146" t="inlineStr"/>
      <c r="S146" t="inlineStr"/>
      <c r="T146" t="inlineStr">
        <is>
          <t>unclear</t>
        </is>
      </c>
      <c r="U146" t="inlineStr">
        <is>
          <t>Y</t>
        </is>
      </c>
      <c r="V146" t="inlineStr"/>
      <c r="W146" t="inlineStr">
        <is>
          <t>auto: Aadhaar means ‘foundation’ or ‘support’ in several Indian languages.</t>
        </is>
      </c>
      <c r="X146" t="inlineStr"/>
      <c r="Y146" t="inlineStr"/>
      <c r="Z146" t="inlineStr">
        <is>
          <t>medium</t>
        </is>
      </c>
      <c r="AA146" t="inlineStr">
        <is>
          <t>B5:landmarks</t>
        </is>
      </c>
      <c r="AB146" t="inlineStr"/>
      <c r="AC146" t="n">
        <v>9.078099999999999</v>
      </c>
    </row>
    <row r="147">
      <c r="A147" t="inlineStr">
        <is>
          <t>LM00146</t>
        </is>
      </c>
      <c r="B147" t="inlineStr">
        <is>
          <t>Self-Sovereign Identity in a Globalized World: Credentials-Based Identity Systems as a Driver for Economic Inclusion</t>
        </is>
      </c>
      <c r="C147" t="n">
        <v>2020</v>
      </c>
      <c r="D147" t="inlineStr">
        <is>
          <t>Fennie Wang; Primavera De Filippi</t>
        </is>
      </c>
      <c r="E147" t="inlineStr">
        <is>
          <t>Frontiers in Blockchain</t>
        </is>
      </c>
      <c r="F147" t="inlineStr">
        <is>
          <t>article</t>
        </is>
      </c>
      <c r="G147" t="inlineStr">
        <is>
          <t>10.3389/fbloc.2019.00028</t>
        </is>
      </c>
      <c r="H147" t="inlineStr">
        <is>
          <t>W3003033094</t>
        </is>
      </c>
      <c r="I147" t="inlineStr">
        <is>
          <t>https://doi.org/10.3389/fbloc.2019.00028</t>
        </is>
      </c>
      <c r="J147" t="inlineStr">
        <is>
          <t>https://www.frontiersin.org/articles/10.3389/fbloc.2019.00028/pdf</t>
        </is>
      </c>
      <c r="K147" t="n">
        <v>143</v>
      </c>
      <c r="L147" t="inlineStr">
        <is>
          <t>B</t>
        </is>
      </c>
      <c r="M147" t="inlineStr">
        <is>
          <t>B5</t>
        </is>
      </c>
      <c r="N147" t="inlineStr"/>
      <c r="O147" t="inlineStr">
        <is>
          <t>Jordan; Sierra Leone</t>
        </is>
      </c>
      <c r="P147" t="inlineStr">
        <is>
          <t>Multi-region</t>
        </is>
      </c>
      <c r="Q147" t="inlineStr"/>
      <c r="R147" t="inlineStr"/>
      <c r="S147" t="inlineStr"/>
      <c r="T147" t="inlineStr">
        <is>
          <t>qualitative</t>
        </is>
      </c>
      <c r="U147" t="inlineStr">
        <is>
          <t>Y</t>
        </is>
      </c>
      <c r="V147" t="inlineStr"/>
      <c r="W147" t="inlineStr">
        <is>
          <t>auto: After introducing key concepts and definitions in the field of digital identity, this paper will investigate the benefits and drawbacks of existing identity systems on the road towards achieving self-sovereign identity.</t>
        </is>
      </c>
      <c r="X147" t="inlineStr"/>
      <c r="Y147" t="inlineStr"/>
      <c r="Z147" t="inlineStr">
        <is>
          <t>medium</t>
        </is>
      </c>
      <c r="AA147" t="inlineStr">
        <is>
          <t>B5:landmarks</t>
        </is>
      </c>
      <c r="AB147" t="inlineStr"/>
      <c r="AC147" t="n">
        <v>21.1129</v>
      </c>
    </row>
    <row r="148">
      <c r="A148" t="inlineStr">
        <is>
          <t>LM00147</t>
        </is>
      </c>
      <c r="B148" t="inlineStr">
        <is>
          <t>Autonomy of Migration?</t>
        </is>
      </c>
      <c r="C148" t="n">
        <v>2019</v>
      </c>
      <c r="D148" t="inlineStr">
        <is>
          <t>Stephan Scheel</t>
        </is>
      </c>
      <c r="E148" t="inlineStr">
        <is>
          <t>Routledge eBooks</t>
        </is>
      </c>
      <c r="F148" t="inlineStr">
        <is>
          <t>book</t>
        </is>
      </c>
      <c r="G148" t="inlineStr">
        <is>
          <t>10.4324/9781315269030</t>
        </is>
      </c>
      <c r="H148" t="inlineStr">
        <is>
          <t>W4234136487</t>
        </is>
      </c>
      <c r="I148" t="inlineStr">
        <is>
          <t>https://doi.org/10.4324/9781315269030</t>
        </is>
      </c>
      <c r="J148" t="inlineStr"/>
      <c r="K148" t="n">
        <v>129</v>
      </c>
      <c r="L148" t="inlineStr">
        <is>
          <t>B</t>
        </is>
      </c>
      <c r="M148" t="inlineStr">
        <is>
          <t>B5</t>
        </is>
      </c>
      <c r="N148" t="inlineStr"/>
      <c r="O148" t="inlineStr"/>
      <c r="P148" t="inlineStr">
        <is>
          <t>Not place-specific</t>
        </is>
      </c>
      <c r="Q148" t="inlineStr"/>
      <c r="R148" t="inlineStr"/>
      <c r="S148" t="inlineStr"/>
      <c r="T148" t="inlineStr">
        <is>
          <t>conceptual</t>
        </is>
      </c>
      <c r="U148" t="inlineStr">
        <is>
          <t>Y</t>
        </is>
      </c>
      <c r="V148" t="inlineStr"/>
      <c r="W148" t="inlineStr">
        <is>
          <t>auto: This book will be of great interest to scholars in border, migration and critical security studies, as well as researchers engaged in citizenship studies, surveillance studies, political theory, critical IR theory and international political sociology.</t>
        </is>
      </c>
      <c r="X148" t="inlineStr"/>
      <c r="Y148" t="inlineStr"/>
      <c r="Z148" t="inlineStr">
        <is>
          <t>high</t>
        </is>
      </c>
      <c r="AA148" t="inlineStr">
        <is>
          <t>B5:landmarks</t>
        </is>
      </c>
      <c r="AB148" t="inlineStr"/>
      <c r="AC148" t="n">
        <v>15.2392</v>
      </c>
    </row>
    <row r="149">
      <c r="A149" t="inlineStr">
        <is>
          <t>LM00148</t>
        </is>
      </c>
      <c r="B149" t="inlineStr">
        <is>
          <t>User acceptance of Malaysian government multipurpose smartcard applications</t>
        </is>
      </c>
      <c r="C149" t="n">
        <v>2009</v>
      </c>
      <c r="D149" t="inlineStr">
        <is>
          <t>W.H. Loo; Paul H.P. Yeow; Siong Choy Chong</t>
        </is>
      </c>
      <c r="E149" t="inlineStr">
        <is>
          <t>Government Information Quarterly</t>
        </is>
      </c>
      <c r="F149" t="inlineStr">
        <is>
          <t>article</t>
        </is>
      </c>
      <c r="G149" t="inlineStr">
        <is>
          <t>10.1016/j.giq.2008.07.004</t>
        </is>
      </c>
      <c r="H149" t="inlineStr">
        <is>
          <t>W2019326222</t>
        </is>
      </c>
      <c r="I149" t="inlineStr">
        <is>
          <t>https://doi.org/10.1016/j.giq.2008.07.004</t>
        </is>
      </c>
      <c r="J149" t="inlineStr"/>
      <c r="K149" t="n">
        <v>116</v>
      </c>
      <c r="L149" t="inlineStr">
        <is>
          <t>B</t>
        </is>
      </c>
      <c r="M149" t="inlineStr">
        <is>
          <t>B5</t>
        </is>
      </c>
      <c r="N149" t="inlineStr"/>
      <c r="O149" t="inlineStr">
        <is>
          <t>Malaysia</t>
        </is>
      </c>
      <c r="P149" t="inlineStr">
        <is>
          <t>Southeast Asia</t>
        </is>
      </c>
      <c r="Q149" t="inlineStr"/>
      <c r="R149" t="inlineStr"/>
      <c r="S149" t="inlineStr"/>
      <c r="T149" t="inlineStr">
        <is>
          <t>unclear</t>
        </is>
      </c>
      <c r="U149" t="inlineStr">
        <is>
          <t>Y</t>
        </is>
      </c>
      <c r="V149" t="inlineStr"/>
      <c r="W149" t="inlineStr"/>
      <c r="X149" t="inlineStr"/>
      <c r="Y149" t="inlineStr"/>
      <c r="Z149" t="inlineStr">
        <is>
          <t>low</t>
        </is>
      </c>
      <c r="AA149" t="inlineStr">
        <is>
          <t>B5:landmarks</t>
        </is>
      </c>
      <c r="AB149" t="inlineStr"/>
      <c r="AC149" t="n">
        <v>24.5383</v>
      </c>
    </row>
    <row r="150">
      <c r="A150" t="inlineStr">
        <is>
          <t>LM00149</t>
        </is>
      </c>
      <c r="B150" t="inlineStr">
        <is>
          <t>The Rise of Digital Financialisation: The Case of India</t>
        </is>
      </c>
      <c r="C150" t="n">
        <v>2020</v>
      </c>
      <c r="D150" t="inlineStr">
        <is>
          <t>Sudeep Jain; Daniela Gabor</t>
        </is>
      </c>
      <c r="E150" t="inlineStr">
        <is>
          <t>New Political Economy</t>
        </is>
      </c>
      <c r="F150" t="inlineStr">
        <is>
          <t>article</t>
        </is>
      </c>
      <c r="G150" t="inlineStr">
        <is>
          <t>10.1080/13563467.2019.1708879</t>
        </is>
      </c>
      <c r="H150" t="inlineStr">
        <is>
          <t>W2997320510</t>
        </is>
      </c>
      <c r="I150" t="inlineStr">
        <is>
          <t>https://doi.org/10.1080/13563467.2019.1708879</t>
        </is>
      </c>
      <c r="J150" t="inlineStr">
        <is>
          <t>https://uwe-repository.worktribe.com/output/6726601</t>
        </is>
      </c>
      <c r="K150" t="n">
        <v>116</v>
      </c>
      <c r="L150" t="inlineStr">
        <is>
          <t>B</t>
        </is>
      </c>
      <c r="M150" t="inlineStr">
        <is>
          <t>B5</t>
        </is>
      </c>
      <c r="N150" t="inlineStr"/>
      <c r="O150" t="inlineStr">
        <is>
          <t>India</t>
        </is>
      </c>
      <c r="P150" t="inlineStr">
        <is>
          <t>South Asia</t>
        </is>
      </c>
      <c r="Q150" t="inlineStr">
        <is>
          <t>Y</t>
        </is>
      </c>
      <c r="R150" t="inlineStr"/>
      <c r="S150" t="inlineStr"/>
      <c r="T150" t="inlineStr">
        <is>
          <t>qualitative</t>
        </is>
      </c>
      <c r="U150" t="inlineStr">
        <is>
          <t>Y</t>
        </is>
      </c>
      <c r="V150" t="inlineStr"/>
      <c r="W150" t="inlineStr">
        <is>
          <t>auto: Traditional notions of financialisation require updating to study the reorganisation of finance around digital infrastructures.</t>
        </is>
      </c>
      <c r="X150" t="inlineStr"/>
      <c r="Y150" t="inlineStr"/>
      <c r="Z150" t="inlineStr">
        <is>
          <t>medium</t>
        </is>
      </c>
      <c r="AA150" t="inlineStr">
        <is>
          <t>B5:landmarks</t>
        </is>
      </c>
      <c r="AB150" t="inlineStr"/>
      <c r="AC150" t="n">
        <v>13.21</v>
      </c>
    </row>
    <row r="151">
      <c r="A151" t="inlineStr">
        <is>
          <t>LM00150</t>
        </is>
      </c>
      <c r="B151" t="inlineStr">
        <is>
          <t>Nationality and Citizenship in Revolutionary France</t>
        </is>
      </c>
      <c r="C151" t="n">
        <v>2000</v>
      </c>
      <c r="D151" t="inlineStr">
        <is>
          <t>Michael Rapport</t>
        </is>
      </c>
      <c r="E151" t="inlineStr">
        <is>
          <t>Oxford University Press eBooks</t>
        </is>
      </c>
      <c r="F151" t="inlineStr">
        <is>
          <t>book</t>
        </is>
      </c>
      <c r="G151" t="inlineStr">
        <is>
          <t>10.1093/acprof:oso/9780198208457.001.0001</t>
        </is>
      </c>
      <c r="H151" t="inlineStr">
        <is>
          <t>W2504351250</t>
        </is>
      </c>
      <c r="I151" t="inlineStr">
        <is>
          <t>https://doi.org/10.1093/acprof:oso/9780198208457.001.0001</t>
        </is>
      </c>
      <c r="J151" t="inlineStr"/>
      <c r="K151" t="n">
        <v>111</v>
      </c>
      <c r="L151" t="inlineStr">
        <is>
          <t>B</t>
        </is>
      </c>
      <c r="M151" t="inlineStr">
        <is>
          <t>B5</t>
        </is>
      </c>
      <c r="N151" t="inlineStr"/>
      <c r="O151" t="inlineStr">
        <is>
          <t>France</t>
        </is>
      </c>
      <c r="P151" t="inlineStr">
        <is>
          <t>Global North</t>
        </is>
      </c>
      <c r="Q151" t="inlineStr"/>
      <c r="R151" t="inlineStr"/>
      <c r="S151" t="inlineStr"/>
      <c r="T151" t="inlineStr">
        <is>
          <t>unclear</t>
        </is>
      </c>
      <c r="U151" t="inlineStr">
        <is>
          <t>Y</t>
        </is>
      </c>
      <c r="V151" t="inlineStr"/>
      <c r="W151" t="inlineStr">
        <is>
          <t>auto: How and why foreigners were squeezed out of French social and political life — and to what extent — is the subject of this book.</t>
        </is>
      </c>
      <c r="X151" t="inlineStr"/>
      <c r="Y151" t="inlineStr"/>
      <c r="Z151" t="inlineStr">
        <is>
          <t>medium</t>
        </is>
      </c>
      <c r="AA151" t="inlineStr">
        <is>
          <t>B5:landmarks</t>
        </is>
      </c>
      <c r="AB151" t="inlineStr"/>
      <c r="AC151" t="n">
        <v>1.9227</v>
      </c>
    </row>
    <row r="152">
      <c r="A152" t="inlineStr">
        <is>
          <t>LM00151</t>
        </is>
      </c>
      <c r="B152" t="inlineStr">
        <is>
          <t>Fintech for Financial Inclusion: A Framework for Digital Financial Transformation</t>
        </is>
      </c>
      <c r="C152" t="n">
        <v>2018</v>
      </c>
      <c r="D152" t="inlineStr">
        <is>
          <t>Douglas W. Arner; Ross P. Buckley; Dirk Andreas Zetzsche</t>
        </is>
      </c>
      <c r="E152" t="inlineStr">
        <is>
          <t>SSRN Electronic Journal</t>
        </is>
      </c>
      <c r="F152" t="inlineStr">
        <is>
          <t>preprint</t>
        </is>
      </c>
      <c r="G152" t="inlineStr">
        <is>
          <t>10.2139/ssrn.3245287</t>
        </is>
      </c>
      <c r="H152" t="inlineStr">
        <is>
          <t>W2904942818</t>
        </is>
      </c>
      <c r="I152" t="inlineStr">
        <is>
          <t>https://doi.org/10.2139/ssrn.3245287</t>
        </is>
      </c>
      <c r="J152" t="inlineStr">
        <is>
          <t>https://doi.org/10.2139/ssrn.3245287</t>
        </is>
      </c>
      <c r="K152" t="n">
        <v>110</v>
      </c>
      <c r="L152" t="inlineStr">
        <is>
          <t>B</t>
        </is>
      </c>
      <c r="M152" t="inlineStr">
        <is>
          <t>B5</t>
        </is>
      </c>
      <c r="N152" t="inlineStr"/>
      <c r="O152" t="inlineStr"/>
      <c r="P152" t="inlineStr">
        <is>
          <t>Not place-specific</t>
        </is>
      </c>
      <c r="Q152" t="inlineStr"/>
      <c r="R152" t="inlineStr"/>
      <c r="S152" t="inlineStr"/>
      <c r="T152" t="inlineStr">
        <is>
          <t>unclear</t>
        </is>
      </c>
      <c r="U152" t="inlineStr">
        <is>
          <t>Y</t>
        </is>
      </c>
      <c r="V152" t="inlineStr"/>
      <c r="W152" t="inlineStr"/>
      <c r="X152" t="inlineStr"/>
      <c r="Y152" t="inlineStr"/>
      <c r="Z152" t="inlineStr">
        <is>
          <t>low</t>
        </is>
      </c>
      <c r="AA152" t="inlineStr">
        <is>
          <t>B5:landmarks</t>
        </is>
      </c>
      <c r="AB152" t="inlineStr"/>
    </row>
    <row r="153">
      <c r="A153" t="inlineStr">
        <is>
          <t>LM00152</t>
        </is>
      </c>
      <c r="B153" t="inlineStr">
        <is>
          <t>Identifying Citizens: ID Cards as Surveillance</t>
        </is>
      </c>
      <c r="C153" t="n">
        <v>2009</v>
      </c>
      <c r="D153" t="inlineStr">
        <is>
          <t>David Lyon</t>
        </is>
      </c>
      <c r="E153" t="inlineStr"/>
      <c r="F153" t="inlineStr">
        <is>
          <t>article</t>
        </is>
      </c>
      <c r="G153" t="inlineStr"/>
      <c r="H153" t="inlineStr">
        <is>
          <t>W567840274</t>
        </is>
      </c>
      <c r="I153" t="inlineStr">
        <is>
          <t>http://bvbr.bib-bvb.de:8991/F?func=service&amp;amp;doc_library=BVB01&amp;amp;local_base=BVB01&amp;amp;doc_number=017734014&amp;amp;sequence=000002&amp;amp;line_number=0001&amp;amp;func_code=DB_RECORDS&amp;amp;service_type=MEDIA</t>
        </is>
      </c>
      <c r="J153" t="inlineStr"/>
      <c r="K153" t="n">
        <v>108</v>
      </c>
      <c r="L153" t="inlineStr">
        <is>
          <t>B</t>
        </is>
      </c>
      <c r="M153" t="inlineStr">
        <is>
          <t>B5</t>
        </is>
      </c>
      <c r="N153" t="inlineStr"/>
      <c r="O153" t="inlineStr"/>
      <c r="P153" t="inlineStr">
        <is>
          <t>Not place-specific</t>
        </is>
      </c>
      <c r="Q153" t="inlineStr"/>
      <c r="R153" t="inlineStr"/>
      <c r="S153" t="inlineStr"/>
      <c r="T153" t="inlineStr">
        <is>
          <t>unclear</t>
        </is>
      </c>
      <c r="U153" t="inlineStr">
        <is>
          <t>Y</t>
        </is>
      </c>
      <c r="V153" t="inlineStr"/>
      <c r="W153" t="inlineStr">
        <is>
          <t>auto: In this book, David Lyon argues that such IDs represent a fresh phase in the long-term attempts of modern states to find stable ways of identifying citizens.</t>
        </is>
      </c>
      <c r="X153" t="inlineStr"/>
      <c r="Y153" t="inlineStr"/>
      <c r="Z153" t="inlineStr">
        <is>
          <t>high</t>
        </is>
      </c>
      <c r="AA153" t="inlineStr">
        <is>
          <t>B5:landmarks</t>
        </is>
      </c>
      <c r="AB153" t="inlineStr"/>
      <c r="AC153" t="n">
        <v>36.8201</v>
      </c>
    </row>
    <row r="154">
      <c r="A154" t="inlineStr">
        <is>
          <t>LM00153</t>
        </is>
      </c>
      <c r="B154" t="inlineStr">
        <is>
          <t>Datafying anti-poverty programmes: implications for data justice</t>
        </is>
      </c>
      <c r="C154" t="n">
        <v>2019</v>
      </c>
      <c r="D154" t="inlineStr">
        <is>
          <t>Silvia Masiero; Soumyo Das</t>
        </is>
      </c>
      <c r="E154" t="inlineStr">
        <is>
          <t>Information Communication &amp; Society</t>
        </is>
      </c>
      <c r="F154" t="inlineStr">
        <is>
          <t>article</t>
        </is>
      </c>
      <c r="G154" t="inlineStr">
        <is>
          <t>10.1080/1369118x.2019.1575448</t>
        </is>
      </c>
      <c r="H154" t="inlineStr">
        <is>
          <t>W2946326213</t>
        </is>
      </c>
      <c r="I154" t="inlineStr">
        <is>
          <t>https://doi.org/10.1080/1369118x.2019.1575448</t>
        </is>
      </c>
      <c r="J154" t="inlineStr">
        <is>
          <t>https://www.tandfonline.com/doi/pdf/10.1080/1369118X.2019.1575448?needAccess=true</t>
        </is>
      </c>
      <c r="K154" t="n">
        <v>101</v>
      </c>
      <c r="L154" t="inlineStr">
        <is>
          <t>B</t>
        </is>
      </c>
      <c r="M154" t="inlineStr">
        <is>
          <t>B5</t>
        </is>
      </c>
      <c r="N154" t="inlineStr"/>
      <c r="O154" t="inlineStr">
        <is>
          <t>India</t>
        </is>
      </c>
      <c r="P154" t="inlineStr">
        <is>
          <t>South Asia</t>
        </is>
      </c>
      <c r="Q154" t="inlineStr">
        <is>
          <t>Y</t>
        </is>
      </c>
      <c r="R154" t="inlineStr"/>
      <c r="S154" t="inlineStr"/>
      <c r="T154" t="inlineStr">
        <is>
          <t>qualitative</t>
        </is>
      </c>
      <c r="U154" t="inlineStr">
        <is>
          <t>Y</t>
        </is>
      </c>
      <c r="V154" t="inlineStr"/>
      <c r="W154" t="inlineStr">
        <is>
          <t>auto: This paper seeks to illuminate the significance of datafication for anti-poverty programmes, meaning social protection schemes designed specifically for poor people.</t>
        </is>
      </c>
      <c r="X154" t="inlineStr"/>
      <c r="Y154" t="inlineStr"/>
      <c r="Z154" t="inlineStr">
        <is>
          <t>high</t>
        </is>
      </c>
      <c r="AA154" t="inlineStr">
        <is>
          <t>B5:landmarks</t>
        </is>
      </c>
      <c r="AB154" t="inlineStr"/>
      <c r="AC154" t="n">
        <v>27.653</v>
      </c>
    </row>
    <row r="155">
      <c r="A155" t="inlineStr">
        <is>
          <t>LM00154</t>
        </is>
      </c>
      <c r="B155" t="inlineStr">
        <is>
          <t>Municipal ID Cards for Undocumented Immigrants</t>
        </is>
      </c>
      <c r="C155" t="n">
        <v>2014</v>
      </c>
      <c r="D155" t="inlineStr">
        <is>
          <t>Els de Graauw</t>
        </is>
      </c>
      <c r="E155" t="inlineStr">
        <is>
          <t>Politics &amp; Society</t>
        </is>
      </c>
      <c r="F155" t="inlineStr">
        <is>
          <t>article</t>
        </is>
      </c>
      <c r="G155" t="inlineStr">
        <is>
          <t>10.1177/0032329214543256</t>
        </is>
      </c>
      <c r="H155" t="inlineStr">
        <is>
          <t>W2152036754</t>
        </is>
      </c>
      <c r="I155" t="inlineStr">
        <is>
          <t>https://doi.org/10.1177/0032329214543256</t>
        </is>
      </c>
      <c r="J155" t="inlineStr"/>
      <c r="K155" t="n">
        <v>100</v>
      </c>
      <c r="L155" t="inlineStr">
        <is>
          <t>B</t>
        </is>
      </c>
      <c r="M155" t="inlineStr">
        <is>
          <t>B5</t>
        </is>
      </c>
      <c r="N155" t="inlineStr"/>
      <c r="O155" t="inlineStr">
        <is>
          <t>San Francisco</t>
        </is>
      </c>
      <c r="P155" t="inlineStr">
        <is>
          <t>Global North</t>
        </is>
      </c>
      <c r="Q155" t="inlineStr"/>
      <c r="R155" t="inlineStr"/>
      <c r="S155" t="inlineStr"/>
      <c r="T155" t="inlineStr">
        <is>
          <t>qualitative</t>
        </is>
      </c>
      <c r="U155" t="inlineStr">
        <is>
          <t>Y</t>
        </is>
      </c>
      <c r="V155" t="inlineStr"/>
      <c r="W155" t="inlineStr">
        <is>
          <t>auto: This article examines the municipal ID card programs in New Haven and San Francisco.</t>
        </is>
      </c>
      <c r="X155" t="inlineStr"/>
      <c r="Y155" t="inlineStr"/>
      <c r="Z155" t="inlineStr">
        <is>
          <t>high</t>
        </is>
      </c>
      <c r="AA155" t="inlineStr">
        <is>
          <t>B5:landmarks</t>
        </is>
      </c>
      <c r="AB155" t="inlineStr"/>
      <c r="AC155" t="n">
        <v>15.1722</v>
      </c>
    </row>
    <row r="156">
      <c r="A156" t="inlineStr">
        <is>
          <t>LM00155</t>
        </is>
      </c>
      <c r="B156" t="inlineStr">
        <is>
          <t>The Privacy Advocates</t>
        </is>
      </c>
      <c r="C156" t="n">
        <v>2008</v>
      </c>
      <c r="D156" t="inlineStr">
        <is>
          <t>Colin J. Bennett</t>
        </is>
      </c>
      <c r="E156" t="inlineStr">
        <is>
          <t>The MIT Press eBooks</t>
        </is>
      </c>
      <c r="F156" t="inlineStr">
        <is>
          <t>book</t>
        </is>
      </c>
      <c r="G156" t="inlineStr">
        <is>
          <t>10.7551/mitpress/7855.001.0001</t>
        </is>
      </c>
      <c r="H156" t="inlineStr">
        <is>
          <t>W4248279805</t>
        </is>
      </c>
      <c r="I156" t="inlineStr">
        <is>
          <t>https://doi.org/10.7551/mitpress/7855.001.0001</t>
        </is>
      </c>
      <c r="J156" t="inlineStr"/>
      <c r="K156" t="n">
        <v>99</v>
      </c>
      <c r="L156" t="inlineStr">
        <is>
          <t>B</t>
        </is>
      </c>
      <c r="M156" t="inlineStr">
        <is>
          <t>B5</t>
        </is>
      </c>
      <c r="N156" t="inlineStr"/>
      <c r="O156" t="inlineStr"/>
      <c r="P156" t="inlineStr">
        <is>
          <t>Not place-specific</t>
        </is>
      </c>
      <c r="Q156" t="inlineStr"/>
      <c r="R156" t="inlineStr"/>
      <c r="S156" t="inlineStr"/>
      <c r="T156" t="inlineStr">
        <is>
          <t>qualitative</t>
        </is>
      </c>
      <c r="U156" t="inlineStr">
        <is>
          <t>Y</t>
        </is>
      </c>
      <c r="V156" t="inlineStr"/>
      <c r="W156" t="inlineStr">
        <is>
          <t>auto: An analysis of the people and groups who have emerged to challenge the increasingly intrusive ways personal information is captured, processed, and disseminated.</t>
        </is>
      </c>
      <c r="X156" t="inlineStr"/>
      <c r="Y156" t="inlineStr"/>
      <c r="Z156" t="inlineStr">
        <is>
          <t>medium</t>
        </is>
      </c>
      <c r="AA156" t="inlineStr">
        <is>
          <t>B5:landmarks</t>
        </is>
      </c>
      <c r="AB156" t="inlineStr"/>
      <c r="AC156" t="n">
        <v>9.571999999999999</v>
      </c>
    </row>
    <row r="157">
      <c r="A157" t="inlineStr">
        <is>
          <t>LM00156</t>
        </is>
      </c>
      <c r="B157" t="inlineStr">
        <is>
          <t>The birth of biometric security</t>
        </is>
      </c>
      <c r="C157" t="n">
        <v>2009</v>
      </c>
      <c r="D157" t="inlineStr">
        <is>
          <t>Mark Maguire</t>
        </is>
      </c>
      <c r="E157" t="inlineStr">
        <is>
          <t>Anthropology Today</t>
        </is>
      </c>
      <c r="F157" t="inlineStr">
        <is>
          <t>article</t>
        </is>
      </c>
      <c r="G157" t="inlineStr">
        <is>
          <t>10.1111/j.1467-8322.2009.00654.x</t>
        </is>
      </c>
      <c r="H157" t="inlineStr">
        <is>
          <t>W2056981813</t>
        </is>
      </c>
      <c r="I157" t="inlineStr">
        <is>
          <t>https://doi.org/10.1111/j.1467-8322.2009.00654.x</t>
        </is>
      </c>
      <c r="J157" t="inlineStr"/>
      <c r="K157" t="n">
        <v>98</v>
      </c>
      <c r="L157" t="inlineStr">
        <is>
          <t>B</t>
        </is>
      </c>
      <c r="M157" t="inlineStr">
        <is>
          <t>B5</t>
        </is>
      </c>
      <c r="N157" t="inlineStr"/>
      <c r="O157" t="inlineStr"/>
      <c r="P157" t="inlineStr">
        <is>
          <t>Not place-specific</t>
        </is>
      </c>
      <c r="Q157" t="inlineStr"/>
      <c r="R157" t="inlineStr"/>
      <c r="S157" t="inlineStr"/>
      <c r="T157" t="inlineStr">
        <is>
          <t>unclear</t>
        </is>
      </c>
      <c r="U157" t="inlineStr">
        <is>
          <t>Y</t>
        </is>
      </c>
      <c r="V157" t="inlineStr"/>
      <c r="W157" t="inlineStr">
        <is>
          <t>auto: We are currently witnessing a rapid rise in biometric security.</t>
        </is>
      </c>
      <c r="X157" t="inlineStr"/>
      <c r="Y157" t="inlineStr"/>
      <c r="Z157" t="inlineStr">
        <is>
          <t>high</t>
        </is>
      </c>
      <c r="AA157" t="inlineStr">
        <is>
          <t>B5:landmarks</t>
        </is>
      </c>
      <c r="AB157" t="inlineStr"/>
      <c r="AC157" t="n">
        <v>2.6819</v>
      </c>
    </row>
    <row r="158">
      <c r="A158" t="inlineStr">
        <is>
          <t>LM00157</t>
        </is>
      </c>
      <c r="B158" t="inlineStr">
        <is>
          <t>Security, Risk and the Biometric State</t>
        </is>
      </c>
      <c r="C158" t="n">
        <v>2010</v>
      </c>
      <c r="D158" t="inlineStr">
        <is>
          <t>Benjamin Müller</t>
        </is>
      </c>
      <c r="E158" t="inlineStr">
        <is>
          <t>Routledge eBooks</t>
        </is>
      </c>
      <c r="F158" t="inlineStr">
        <is>
          <t>book</t>
        </is>
      </c>
      <c r="G158" t="inlineStr">
        <is>
          <t>10.4324/9780203858042</t>
        </is>
      </c>
      <c r="H158" t="inlineStr">
        <is>
          <t>W4239453362</t>
        </is>
      </c>
      <c r="I158" t="inlineStr">
        <is>
          <t>https://doi.org/10.4324/9780203858042</t>
        </is>
      </c>
      <c r="J158" t="inlineStr"/>
      <c r="K158" t="n">
        <v>97</v>
      </c>
      <c r="L158" t="inlineStr">
        <is>
          <t>B</t>
        </is>
      </c>
      <c r="M158" t="inlineStr">
        <is>
          <t>B5</t>
        </is>
      </c>
      <c r="N158" t="inlineStr"/>
      <c r="O158" t="inlineStr">
        <is>
          <t>Canada; Ireland</t>
        </is>
      </c>
      <c r="P158" t="inlineStr">
        <is>
          <t>Global North</t>
        </is>
      </c>
      <c r="Q158" t="inlineStr"/>
      <c r="R158" t="inlineStr"/>
      <c r="S158" t="inlineStr"/>
      <c r="T158" t="inlineStr">
        <is>
          <t>conceptual</t>
        </is>
      </c>
      <c r="U158" t="inlineStr">
        <is>
          <t>Y</t>
        </is>
      </c>
      <c r="V158" t="inlineStr"/>
      <c r="W158" t="inlineStr">
        <is>
          <t>auto: This book examines a series of questions associated with the increasing application and implications of biometrics in contemporary everyday life.</t>
        </is>
      </c>
      <c r="X158" t="inlineStr"/>
      <c r="Y158" t="inlineStr"/>
      <c r="Z158" t="inlineStr">
        <is>
          <t>high</t>
        </is>
      </c>
      <c r="AA158" t="inlineStr">
        <is>
          <t>B5:landmarks</t>
        </is>
      </c>
      <c r="AB158" t="inlineStr"/>
      <c r="AC158" t="n">
        <v>0.84</v>
      </c>
    </row>
    <row r="159">
      <c r="A159" t="inlineStr">
        <is>
          <t>LM00158</t>
        </is>
      </c>
      <c r="B159" t="inlineStr">
        <is>
          <t>Give Me a Database and I Will Raise the Nation-State</t>
        </is>
      </c>
      <c r="C159" t="n">
        <v>2019</v>
      </c>
      <c r="D159" t="inlineStr">
        <is>
          <t>Ranjit Singh</t>
        </is>
      </c>
      <c r="E159" t="inlineStr">
        <is>
          <t>South Asia Journal of South Asian Studies</t>
        </is>
      </c>
      <c r="F159" t="inlineStr">
        <is>
          <t>article</t>
        </is>
      </c>
      <c r="G159" t="inlineStr">
        <is>
          <t>10.1080/00856401.2019.1602810</t>
        </is>
      </c>
      <c r="H159" t="inlineStr">
        <is>
          <t>W2955090878</t>
        </is>
      </c>
      <c r="I159" t="inlineStr">
        <is>
          <t>https://doi.org/10.1080/00856401.2019.1602810</t>
        </is>
      </c>
      <c r="J159" t="inlineStr"/>
      <c r="K159" t="n">
        <v>94</v>
      </c>
      <c r="L159" t="inlineStr">
        <is>
          <t>B</t>
        </is>
      </c>
      <c r="M159" t="inlineStr">
        <is>
          <t>B5</t>
        </is>
      </c>
      <c r="N159" t="inlineStr"/>
      <c r="O159" t="inlineStr">
        <is>
          <t>India</t>
        </is>
      </c>
      <c r="P159" t="inlineStr">
        <is>
          <t>South Asia</t>
        </is>
      </c>
      <c r="Q159" t="inlineStr">
        <is>
          <t>Y</t>
        </is>
      </c>
      <c r="R159" t="inlineStr"/>
      <c r="S159" t="inlineStr"/>
      <c r="T159" t="inlineStr">
        <is>
          <t>qualitative</t>
        </is>
      </c>
      <c r="U159" t="inlineStr">
        <is>
          <t>Y</t>
        </is>
      </c>
      <c r="V159" t="inlineStr"/>
      <c r="W159" t="inlineStr">
        <is>
          <t>auto: This paper draws on an ethnographic study of Aadhaar, India’s biometrics-based national identification infrastructure, to investigate how members of its design team conceptualised and understood their techno-bureaucratic enterprise of assigning unique numbers to Indian residents.</t>
        </is>
      </c>
      <c r="X159" t="inlineStr"/>
      <c r="Y159" t="inlineStr"/>
      <c r="Z159" t="inlineStr">
        <is>
          <t>high</t>
        </is>
      </c>
      <c r="AA159" t="inlineStr">
        <is>
          <t>B5:landmarks</t>
        </is>
      </c>
      <c r="AB159" t="inlineStr"/>
      <c r="AC159" t="n">
        <v>39.7502</v>
      </c>
    </row>
    <row r="160">
      <c r="A160" t="inlineStr">
        <is>
          <t>LM00159</t>
        </is>
      </c>
      <c r="B160" t="inlineStr">
        <is>
          <t>Realizing digital identity in government: Prioritizing design and implementation objectives for Aadhaar in India</t>
        </is>
      </c>
      <c r="C160" t="n">
        <v>2019</v>
      </c>
      <c r="D160" t="inlineStr">
        <is>
          <t>Umar Bashir Mir; Arpan Kumar Kar; Yogesh Kumar Dwivedi; M.P. Gupta; R.S. Sharma</t>
        </is>
      </c>
      <c r="E160" t="inlineStr">
        <is>
          <t>Government Information Quarterly</t>
        </is>
      </c>
      <c r="F160" t="inlineStr">
        <is>
          <t>article</t>
        </is>
      </c>
      <c r="G160" t="inlineStr">
        <is>
          <t>10.1016/j.giq.2019.101442</t>
        </is>
      </c>
      <c r="H160" t="inlineStr">
        <is>
          <t>W2998300106</t>
        </is>
      </c>
      <c r="I160" t="inlineStr">
        <is>
          <t>https://doi.org/10.1016/j.giq.2019.101442</t>
        </is>
      </c>
      <c r="J160" t="inlineStr"/>
      <c r="K160" t="n">
        <v>94</v>
      </c>
      <c r="L160" t="inlineStr">
        <is>
          <t>B</t>
        </is>
      </c>
      <c r="M160" t="inlineStr">
        <is>
          <t>B5</t>
        </is>
      </c>
      <c r="N160" t="inlineStr"/>
      <c r="O160" t="inlineStr">
        <is>
          <t>India</t>
        </is>
      </c>
      <c r="P160" t="inlineStr">
        <is>
          <t>South Asia</t>
        </is>
      </c>
      <c r="Q160" t="inlineStr">
        <is>
          <t>Y</t>
        </is>
      </c>
      <c r="R160" t="inlineStr"/>
      <c r="S160" t="inlineStr"/>
      <c r="T160" t="inlineStr">
        <is>
          <t>unclear</t>
        </is>
      </c>
      <c r="U160" t="inlineStr">
        <is>
          <t>Y</t>
        </is>
      </c>
      <c r="V160" t="inlineStr"/>
      <c r="W160" t="inlineStr"/>
      <c r="X160" t="inlineStr"/>
      <c r="Y160" t="inlineStr"/>
      <c r="Z160" t="inlineStr">
        <is>
          <t>low</t>
        </is>
      </c>
      <c r="AA160" t="inlineStr">
        <is>
          <t>B5:india; B5:landmarks</t>
        </is>
      </c>
      <c r="AB160" t="inlineStr"/>
      <c r="AC160" t="n">
        <v>60.6714</v>
      </c>
    </row>
    <row r="161">
      <c r="A161" t="inlineStr">
        <is>
          <t>LM00160</t>
        </is>
      </c>
      <c r="B161" t="inlineStr">
        <is>
          <t>The Identity Challenge in Finance: From Analogue Identity to Digitized Identification to Digital KYC Utilities</t>
        </is>
      </c>
      <c r="C161" t="n">
        <v>2019</v>
      </c>
      <c r="D161" t="inlineStr">
        <is>
          <t>Douglas W. Arner; Dirk Andreas Zetzsche; Ross P. Buckley; Janos Nathan Barberis</t>
        </is>
      </c>
      <c r="E161" t="inlineStr">
        <is>
          <t>European Business Organization Law Review</t>
        </is>
      </c>
      <c r="F161" t="inlineStr">
        <is>
          <t>article</t>
        </is>
      </c>
      <c r="G161" t="inlineStr">
        <is>
          <t>10.1007/s40804-019-00135-1</t>
        </is>
      </c>
      <c r="H161" t="inlineStr">
        <is>
          <t>W3121307771</t>
        </is>
      </c>
      <c r="I161" t="inlineStr">
        <is>
          <t>https://doi.org/10.1007/s40804-019-00135-1</t>
        </is>
      </c>
      <c r="J161" t="inlineStr">
        <is>
          <t>https://doi.org/10.2139/ssrn.3224115</t>
        </is>
      </c>
      <c r="K161" t="n">
        <v>93</v>
      </c>
      <c r="L161" t="inlineStr">
        <is>
          <t>B</t>
        </is>
      </c>
      <c r="M161" t="inlineStr">
        <is>
          <t>B5</t>
        </is>
      </c>
      <c r="N161" t="inlineStr"/>
      <c r="O161" t="inlineStr"/>
      <c r="P161" t="inlineStr">
        <is>
          <t>Not place-specific</t>
        </is>
      </c>
      <c r="Q161" t="inlineStr"/>
      <c r="R161" t="inlineStr"/>
      <c r="S161" t="inlineStr"/>
      <c r="T161" t="inlineStr">
        <is>
          <t>unclear</t>
        </is>
      </c>
      <c r="U161" t="inlineStr">
        <is>
          <t>Y</t>
        </is>
      </c>
      <c r="V161" t="inlineStr"/>
      <c r="W161" t="inlineStr"/>
      <c r="X161" t="inlineStr"/>
      <c r="Y161" t="inlineStr"/>
      <c r="Z161" t="inlineStr">
        <is>
          <t>low</t>
        </is>
      </c>
      <c r="AA161" t="inlineStr">
        <is>
          <t>B5:landmarks</t>
        </is>
      </c>
      <c r="AB161" t="inlineStr"/>
      <c r="AC161" t="n">
        <v>16.6553</v>
      </c>
    </row>
    <row r="162">
      <c r="A162" t="inlineStr">
        <is>
          <t>LM00161</t>
        </is>
      </c>
      <c r="B162" t="inlineStr">
        <is>
          <t>The Ayushman Bharat Digital Mission (ABDM): making of India’s Digital Health Story</t>
        </is>
      </c>
      <c r="C162" t="n">
        <v>2023</v>
      </c>
      <c r="D162" t="inlineStr">
        <is>
          <t>R. S. Sharma; Aishwarya Rohatgi; Sandeep K Jain; Dilip Singh</t>
        </is>
      </c>
      <c r="E162" t="inlineStr">
        <is>
          <t>CSI Transactions on ICT</t>
        </is>
      </c>
      <c r="F162" t="inlineStr">
        <is>
          <t>article</t>
        </is>
      </c>
      <c r="G162" t="inlineStr">
        <is>
          <t>10.1007/s40012-023-00375-0</t>
        </is>
      </c>
      <c r="H162" t="inlineStr">
        <is>
          <t>W4362466505</t>
        </is>
      </c>
      <c r="I162" t="inlineStr">
        <is>
          <t>https://doi.org/10.1007/s40012-023-00375-0</t>
        </is>
      </c>
      <c r="J162" t="inlineStr">
        <is>
          <t>https://link.springer.com/content/pdf/10.1007/s40012-023-00375-0.pdf</t>
        </is>
      </c>
      <c r="K162" t="n">
        <v>93</v>
      </c>
      <c r="L162" t="inlineStr">
        <is>
          <t>B</t>
        </is>
      </c>
      <c r="M162" t="inlineStr">
        <is>
          <t>B5</t>
        </is>
      </c>
      <c r="N162" t="inlineStr"/>
      <c r="O162" t="inlineStr">
        <is>
          <t>India</t>
        </is>
      </c>
      <c r="P162" t="inlineStr">
        <is>
          <t>South Asia</t>
        </is>
      </c>
      <c r="Q162" t="inlineStr">
        <is>
          <t>Y</t>
        </is>
      </c>
      <c r="R162" t="inlineStr"/>
      <c r="S162" t="inlineStr"/>
      <c r="T162" t="inlineStr">
        <is>
          <t>conceptual</t>
        </is>
      </c>
      <c r="U162" t="inlineStr">
        <is>
          <t>Y</t>
        </is>
      </c>
      <c r="V162" t="inlineStr">
        <is>
          <t>Y</t>
        </is>
      </c>
      <c r="W162" t="inlineStr">
        <is>
          <t>auto: The purpose of this mission is to establish a national digital health ecosystem that is integrated, effective and inclusive.</t>
        </is>
      </c>
      <c r="X162" t="inlineStr"/>
      <c r="Y162" t="inlineStr"/>
      <c r="Z162" t="inlineStr">
        <is>
          <t>medium</t>
        </is>
      </c>
      <c r="AA162" t="inlineStr">
        <is>
          <t>B5:landmarks</t>
        </is>
      </c>
      <c r="AB162" t="inlineStr"/>
      <c r="AC162" t="n">
        <v>29.9159</v>
      </c>
    </row>
    <row r="163">
      <c r="A163" t="inlineStr">
        <is>
          <t>LM00162</t>
        </is>
      </c>
      <c r="B163" t="inlineStr">
        <is>
          <t>Data protection regulation</t>
        </is>
      </c>
      <c r="C163" t="n">
        <v>2021</v>
      </c>
      <c r="D163" t="inlineStr">
        <is>
          <t>Malavika Raghavan</t>
        </is>
      </c>
      <c r="E163" t="inlineStr">
        <is>
          <t>Routledge eBooks</t>
        </is>
      </c>
      <c r="F163" t="inlineStr">
        <is>
          <t>book-chapter</t>
        </is>
      </c>
      <c r="G163" t="inlineStr">
        <is>
          <t>10.4324/9781003093442-11</t>
        </is>
      </c>
      <c r="H163" t="inlineStr">
        <is>
          <t>W3207344912</t>
        </is>
      </c>
      <c r="I163" t="inlineStr">
        <is>
          <t>https://doi.org/10.4324/9781003093442-11</t>
        </is>
      </c>
      <c r="J163" t="inlineStr"/>
      <c r="K163" t="n">
        <v>88</v>
      </c>
      <c r="L163" t="inlineStr">
        <is>
          <t>B</t>
        </is>
      </c>
      <c r="M163" t="inlineStr">
        <is>
          <t>B5</t>
        </is>
      </c>
      <c r="N163" t="inlineStr"/>
      <c r="O163" t="inlineStr">
        <is>
          <t>European; India; United States</t>
        </is>
      </c>
      <c r="P163" t="inlineStr">
        <is>
          <t>Multi-region</t>
        </is>
      </c>
      <c r="Q163" t="inlineStr">
        <is>
          <t>Y</t>
        </is>
      </c>
      <c r="R163" t="inlineStr"/>
      <c r="S163" t="inlineStr"/>
      <c r="T163" t="inlineStr">
        <is>
          <t>conceptual</t>
        </is>
      </c>
      <c r="U163" t="inlineStr">
        <is>
          <t>Y</t>
        </is>
      </c>
      <c r="V163" t="inlineStr"/>
      <c r="W163" t="inlineStr">
        <is>
          <t>auto: This chapter undertakes a comparison of the approach to data protection across India, the US and the EU.</t>
        </is>
      </c>
      <c r="X163" t="inlineStr"/>
      <c r="Y163" t="inlineStr"/>
      <c r="Z163" t="inlineStr">
        <is>
          <t>medium</t>
        </is>
      </c>
      <c r="AA163" t="inlineStr">
        <is>
          <t>B5:landmarks</t>
        </is>
      </c>
      <c r="AB163" t="inlineStr"/>
      <c r="AC163" t="n">
        <v>126.8739</v>
      </c>
    </row>
    <row r="164">
      <c r="A164" t="inlineStr">
        <is>
          <t>LM00163</t>
        </is>
      </c>
      <c r="B164" t="inlineStr">
        <is>
          <t>India’s Aadhaar scheme and the promise of inclusive social protection</t>
        </is>
      </c>
      <c r="C164" t="n">
        <v>2017</v>
      </c>
      <c r="D164" t="inlineStr">
        <is>
          <t>Amiya Bhatia; Jacqueline Bhabha</t>
        </is>
      </c>
      <c r="E164" t="inlineStr">
        <is>
          <t>Oxford Development Studies</t>
        </is>
      </c>
      <c r="F164" t="inlineStr">
        <is>
          <t>article</t>
        </is>
      </c>
      <c r="G164" t="inlineStr">
        <is>
          <t>10.1080/13600818.2016.1263726</t>
        </is>
      </c>
      <c r="H164" t="inlineStr">
        <is>
          <t>W2568118306</t>
        </is>
      </c>
      <c r="I164" t="inlineStr">
        <is>
          <t>https://doi.org/10.1080/13600818.2016.1263726</t>
        </is>
      </c>
      <c r="J164" t="inlineStr"/>
      <c r="K164" t="n">
        <v>85</v>
      </c>
      <c r="L164" t="inlineStr">
        <is>
          <t>B</t>
        </is>
      </c>
      <c r="M164" t="inlineStr">
        <is>
          <t>B5</t>
        </is>
      </c>
      <c r="N164" t="inlineStr"/>
      <c r="O164" t="inlineStr">
        <is>
          <t>India</t>
        </is>
      </c>
      <c r="P164" t="inlineStr">
        <is>
          <t>South Asia</t>
        </is>
      </c>
      <c r="Q164" t="inlineStr">
        <is>
          <t>Y</t>
        </is>
      </c>
      <c r="R164" t="inlineStr"/>
      <c r="S164" t="inlineStr"/>
      <c r="T164" t="inlineStr">
        <is>
          <t>unclear</t>
        </is>
      </c>
      <c r="U164" t="inlineStr">
        <is>
          <t>Y</t>
        </is>
      </c>
      <c r="V164" t="inlineStr"/>
      <c r="W164" t="inlineStr">
        <is>
          <t>auto: This paper examines the promise of inclusive social protection central to India’s Aadhaar scheme, a national initiative using biometric information to allocate unique identification numbers to Indian residents.</t>
        </is>
      </c>
      <c r="X164" t="inlineStr">
        <is>
          <t>auto: Aadhaar has reached over one billion people and promises to expand access to basic identification, improve enrolment in social protection and financial inclusion schemes, curb leakages, reduce corruption and address other gaps in India’s social protection architecture.</t>
        </is>
      </c>
      <c r="Y164" t="inlineStr"/>
      <c r="Z164" t="inlineStr">
        <is>
          <t>high</t>
        </is>
      </c>
      <c r="AA164" t="inlineStr">
        <is>
          <t>B5:india; B5:landmarks</t>
        </is>
      </c>
      <c r="AB164" t="inlineStr"/>
      <c r="AC164" t="n">
        <v>16.8894</v>
      </c>
    </row>
    <row r="165">
      <c r="A165" t="inlineStr">
        <is>
          <t>LM00164</t>
        </is>
      </c>
      <c r="B165" t="inlineStr">
        <is>
          <t>The ‘Social’ De-Duplicated: On the Aadhaar Platform and the Engineering of Service</t>
        </is>
      </c>
      <c r="C165" t="n">
        <v>2019</v>
      </c>
      <c r="D165" t="inlineStr">
        <is>
          <t>Lawrence Cohen</t>
        </is>
      </c>
      <c r="E165" t="inlineStr">
        <is>
          <t>South Asia Journal of South Asian Studies</t>
        </is>
      </c>
      <c r="F165" t="inlineStr">
        <is>
          <t>article</t>
        </is>
      </c>
      <c r="G165" t="inlineStr">
        <is>
          <t>10.1080/00856401.2019.1593597</t>
        </is>
      </c>
      <c r="H165" t="inlineStr">
        <is>
          <t>W2944888592</t>
        </is>
      </c>
      <c r="I165" t="inlineStr">
        <is>
          <t>https://doi.org/10.1080/00856401.2019.1593597</t>
        </is>
      </c>
      <c r="J165" t="inlineStr"/>
      <c r="K165" t="n">
        <v>84</v>
      </c>
      <c r="L165" t="inlineStr">
        <is>
          <t>B</t>
        </is>
      </c>
      <c r="M165" t="inlineStr">
        <is>
          <t>B5</t>
        </is>
      </c>
      <c r="N165" t="inlineStr"/>
      <c r="O165" t="inlineStr">
        <is>
          <t>India</t>
        </is>
      </c>
      <c r="P165" t="inlineStr">
        <is>
          <t>South Asia</t>
        </is>
      </c>
      <c r="Q165" t="inlineStr">
        <is>
          <t>Y</t>
        </is>
      </c>
      <c r="R165" t="inlineStr"/>
      <c r="S165" t="inlineStr"/>
      <c r="T165" t="inlineStr">
        <is>
          <t>unclear</t>
        </is>
      </c>
      <c r="U165" t="inlineStr">
        <is>
          <t>Y</t>
        </is>
      </c>
      <c r="V165" t="inlineStr"/>
      <c r="W165" t="inlineStr">
        <is>
          <t>auto: India’s programme for biometric registration, Aadhaar, is organised through engineering concept work that depends upon three distinctive claims for the ‘social’ as human condition: (1) the social as ‘socialism’, the failed premise of Nehruvian decolonisation understood to have placed the poor int…</t>
        </is>
      </c>
      <c r="X165" t="inlineStr"/>
      <c r="Y165" t="inlineStr"/>
      <c r="Z165" t="inlineStr">
        <is>
          <t>high</t>
        </is>
      </c>
      <c r="AA165" t="inlineStr">
        <is>
          <t>B5:landmarks</t>
        </is>
      </c>
      <c r="AB165" t="inlineStr"/>
      <c r="AC165" t="n">
        <v>37.6581</v>
      </c>
    </row>
    <row r="166">
      <c r="A166" t="inlineStr">
        <is>
          <t>LM00165</t>
        </is>
      </c>
      <c r="B166" t="inlineStr">
        <is>
          <t>Privacy features of European eID card specifications</t>
        </is>
      </c>
      <c r="C166" t="n">
        <v>2008</v>
      </c>
      <c r="D166" t="inlineStr">
        <is>
          <t>Ingo Naumann; Giles Hogben</t>
        </is>
      </c>
      <c r="E166" t="inlineStr">
        <is>
          <t>Network Security</t>
        </is>
      </c>
      <c r="F166" t="inlineStr">
        <is>
          <t>article</t>
        </is>
      </c>
      <c r="G166" t="inlineStr">
        <is>
          <t>10.1016/s1353-4858(08)70097-7</t>
        </is>
      </c>
      <c r="H166" t="inlineStr">
        <is>
          <t>W2000641258</t>
        </is>
      </c>
      <c r="I166" t="inlineStr">
        <is>
          <t>https://doi.org/10.1016/s1353-4858(08)70097-7</t>
        </is>
      </c>
      <c r="J166" t="inlineStr"/>
      <c r="K166" t="n">
        <v>82</v>
      </c>
      <c r="L166" t="inlineStr">
        <is>
          <t>B</t>
        </is>
      </c>
      <c r="M166" t="inlineStr">
        <is>
          <t>B5</t>
        </is>
      </c>
      <c r="N166" t="inlineStr"/>
      <c r="O166" t="inlineStr">
        <is>
          <t>Austria; Belgium; Estonia; Europe; European; Finland; France; Germany; Italy; Netherlands; Spain; Sweden; United Kingdom</t>
        </is>
      </c>
      <c r="P166" t="inlineStr">
        <is>
          <t>Global North</t>
        </is>
      </c>
      <c r="Q166" t="inlineStr"/>
      <c r="R166" t="inlineStr"/>
      <c r="S166" t="inlineStr"/>
      <c r="T166" t="inlineStr">
        <is>
          <t>unclear</t>
        </is>
      </c>
      <c r="U166" t="inlineStr">
        <is>
          <t>Y</t>
        </is>
      </c>
      <c r="V166" t="inlineStr"/>
      <c r="W166" t="inlineStr">
        <is>
          <t>auto: Following the introduction of ICAO-compliant electronic passports, electronic national identity cards are now being planned and deployed on a large scale in Europe as well as worldwide.</t>
        </is>
      </c>
      <c r="X166" t="inlineStr"/>
      <c r="Y166" t="inlineStr"/>
      <c r="Z166" t="inlineStr">
        <is>
          <t>high</t>
        </is>
      </c>
      <c r="AA166" t="inlineStr">
        <is>
          <t>B5:landmarks</t>
        </is>
      </c>
      <c r="AB166" t="inlineStr"/>
      <c r="AC166" t="n">
        <v>9.3004</v>
      </c>
    </row>
    <row r="167">
      <c r="A167" t="inlineStr">
        <is>
          <t>LM00166</t>
        </is>
      </c>
      <c r="B167" t="inlineStr">
        <is>
          <t>BIOMETRICS, IDENTIFICATION AND SURVEILLANCE</t>
        </is>
      </c>
      <c r="C167" t="n">
        <v>2008</v>
      </c>
      <c r="D167" t="inlineStr">
        <is>
          <t>David Lyon</t>
        </is>
      </c>
      <c r="E167" t="inlineStr">
        <is>
          <t>Bioethics</t>
        </is>
      </c>
      <c r="F167" t="inlineStr">
        <is>
          <t>article</t>
        </is>
      </c>
      <c r="G167" t="inlineStr">
        <is>
          <t>10.1111/j.1467-8519.2008.00697.x</t>
        </is>
      </c>
      <c r="H167" t="inlineStr">
        <is>
          <t>W2048771990</t>
        </is>
      </c>
      <c r="I167" t="inlineStr">
        <is>
          <t>https://doi.org/10.1111/j.1467-8519.2008.00697.x</t>
        </is>
      </c>
      <c r="J167" t="inlineStr"/>
      <c r="K167" t="n">
        <v>82</v>
      </c>
      <c r="L167" t="inlineStr">
        <is>
          <t>B</t>
        </is>
      </c>
      <c r="M167" t="inlineStr">
        <is>
          <t>B5</t>
        </is>
      </c>
      <c r="N167" t="inlineStr"/>
      <c r="O167" t="inlineStr"/>
      <c r="P167" t="inlineStr">
        <is>
          <t>Not place-specific</t>
        </is>
      </c>
      <c r="Q167" t="inlineStr"/>
      <c r="R167" t="inlineStr"/>
      <c r="S167" t="inlineStr"/>
      <c r="T167" t="inlineStr">
        <is>
          <t>conceptual</t>
        </is>
      </c>
      <c r="U167" t="inlineStr">
        <is>
          <t>Y</t>
        </is>
      </c>
      <c r="V167" t="inlineStr"/>
      <c r="W167" t="inlineStr">
        <is>
          <t>auto: Governing by identity describes the emerging regime of a globalizing, mobile world.</t>
        </is>
      </c>
      <c r="X167" t="inlineStr"/>
      <c r="Y167" t="inlineStr"/>
      <c r="Z167" t="inlineStr">
        <is>
          <t>high</t>
        </is>
      </c>
      <c r="AA167" t="inlineStr">
        <is>
          <t>B5:landmarks</t>
        </is>
      </c>
      <c r="AB167" t="inlineStr"/>
      <c r="AC167" t="n">
        <v>5.5232</v>
      </c>
    </row>
    <row r="168">
      <c r="A168" t="inlineStr">
        <is>
          <t>LM00167</t>
        </is>
      </c>
      <c r="B168" t="inlineStr">
        <is>
          <t>Online voting system for India based on AADHAAR ID</t>
        </is>
      </c>
      <c r="C168" t="n">
        <v>2013</v>
      </c>
      <c r="D168" t="inlineStr">
        <is>
          <t>Himanshu Agarwal; G. N. Pandey</t>
        </is>
      </c>
      <c r="E168" t="inlineStr">
        <is>
          <t>International Conference on ICT and Knowledge Engineering</t>
        </is>
      </c>
      <c r="F168" t="inlineStr">
        <is>
          <t>conference-paper</t>
        </is>
      </c>
      <c r="G168" t="inlineStr">
        <is>
          <t>10.1109/ictke.2013.6756265</t>
        </is>
      </c>
      <c r="H168" t="inlineStr">
        <is>
          <t>W2542232302</t>
        </is>
      </c>
      <c r="I168" t="inlineStr">
        <is>
          <t>https://doi.org/10.1109/ictke.2013.6756265</t>
        </is>
      </c>
      <c r="J168" t="inlineStr"/>
      <c r="K168" t="n">
        <v>78</v>
      </c>
      <c r="L168" t="inlineStr">
        <is>
          <t>B</t>
        </is>
      </c>
      <c r="M168" t="inlineStr">
        <is>
          <t>B5</t>
        </is>
      </c>
      <c r="N168" t="inlineStr"/>
      <c r="O168" t="inlineStr">
        <is>
          <t>India</t>
        </is>
      </c>
      <c r="P168" t="inlineStr">
        <is>
          <t>South Asia</t>
        </is>
      </c>
      <c r="Q168" t="inlineStr">
        <is>
          <t>Y</t>
        </is>
      </c>
      <c r="R168" t="inlineStr"/>
      <c r="S168" t="inlineStr"/>
      <c r="T168" t="inlineStr">
        <is>
          <t>quantitative</t>
        </is>
      </c>
      <c r="U168" t="inlineStr">
        <is>
          <t>Y</t>
        </is>
      </c>
      <c r="V168" t="inlineStr"/>
      <c r="W168" t="inlineStr">
        <is>
          <t>auto: An online voting system for Indian election is proposed for the first time in this paper.</t>
        </is>
      </c>
      <c r="X168" t="inlineStr"/>
      <c r="Y168" t="inlineStr"/>
      <c r="Z168" t="inlineStr">
        <is>
          <t>high</t>
        </is>
      </c>
      <c r="AA168" t="inlineStr">
        <is>
          <t>B5:landmarks</t>
        </is>
      </c>
      <c r="AB168" t="inlineStr"/>
      <c r="AC168" t="n">
        <v>0.8619</v>
      </c>
    </row>
    <row r="169">
      <c r="A169" t="inlineStr">
        <is>
          <t>LM00168</t>
        </is>
      </c>
      <c r="B169" t="inlineStr">
        <is>
          <t>Electronic identity management in Estonia between market and state governance</t>
        </is>
      </c>
      <c r="C169" t="n">
        <v>2010</v>
      </c>
      <c r="D169" t="inlineStr">
        <is>
          <t>Tarvi Martens</t>
        </is>
      </c>
      <c r="E169" t="inlineStr">
        <is>
          <t>Identity in the Information Society</t>
        </is>
      </c>
      <c r="F169" t="inlineStr">
        <is>
          <t>article</t>
        </is>
      </c>
      <c r="G169" t="inlineStr">
        <is>
          <t>10.1007/s12394-010-0044-0</t>
        </is>
      </c>
      <c r="H169" t="inlineStr">
        <is>
          <t>W1969638554</t>
        </is>
      </c>
      <c r="I169" t="inlineStr">
        <is>
          <t>https://doi.org/10.1007/s12394-010-0044-0</t>
        </is>
      </c>
      <c r="J169" t="inlineStr">
        <is>
          <t>https://link.springer.com/content/pdf/10.1007/s12394-010-0044-0.pdf</t>
        </is>
      </c>
      <c r="K169" t="n">
        <v>76</v>
      </c>
      <c r="L169" t="inlineStr">
        <is>
          <t>B</t>
        </is>
      </c>
      <c r="M169" t="inlineStr">
        <is>
          <t>B5</t>
        </is>
      </c>
      <c r="N169" t="inlineStr"/>
      <c r="O169" t="inlineStr">
        <is>
          <t>Austria; Belgium; Estonia; European; Germany; Spain</t>
        </is>
      </c>
      <c r="P169" t="inlineStr">
        <is>
          <t>Global North</t>
        </is>
      </c>
      <c r="Q169" t="inlineStr"/>
      <c r="R169" t="inlineStr"/>
      <c r="S169" t="inlineStr"/>
      <c r="T169" t="inlineStr">
        <is>
          <t>conceptual</t>
        </is>
      </c>
      <c r="U169" t="inlineStr">
        <is>
          <t>Y</t>
        </is>
      </c>
      <c r="V169" t="inlineStr"/>
      <c r="W169" t="inlineStr">
        <is>
          <t>auto: The present paper summarizes the development of the national electronic Identity Management System (eIDMS) in Estonia according to a conceptual framework developed in an European comparative research project outlined in the first chapter of this special issue.</t>
        </is>
      </c>
      <c r="X169" t="inlineStr"/>
      <c r="Y169" t="inlineStr"/>
      <c r="Z169" t="inlineStr">
        <is>
          <t>high</t>
        </is>
      </c>
      <c r="AA169" t="inlineStr">
        <is>
          <t>B5:landmarks</t>
        </is>
      </c>
      <c r="AB169" t="inlineStr"/>
      <c r="AC169" t="n">
        <v>14.6176</v>
      </c>
    </row>
    <row r="170">
      <c r="A170" t="inlineStr">
        <is>
          <t>LM00169</t>
        </is>
      </c>
      <c r="B170" t="inlineStr">
        <is>
          <t>Hacking the Cis-tem</t>
        </is>
      </c>
      <c r="C170" t="n">
        <v>2019</v>
      </c>
      <c r="D170" t="inlineStr">
        <is>
          <t>Mar Hicks</t>
        </is>
      </c>
      <c r="E170" t="inlineStr">
        <is>
          <t>IEEE Annals of the History of Computing</t>
        </is>
      </c>
      <c r="F170" t="inlineStr">
        <is>
          <t>article</t>
        </is>
      </c>
      <c r="G170" t="inlineStr">
        <is>
          <t>10.1109/mahc.2019.2897667</t>
        </is>
      </c>
      <c r="H170" t="inlineStr">
        <is>
          <t>W2912673594</t>
        </is>
      </c>
      <c r="I170" t="inlineStr">
        <is>
          <t>https://doi.org/10.1109/mahc.2019.2897667</t>
        </is>
      </c>
      <c r="J170" t="inlineStr"/>
      <c r="K170" t="n">
        <v>76</v>
      </c>
      <c r="L170" t="inlineStr">
        <is>
          <t>B</t>
        </is>
      </c>
      <c r="M170" t="inlineStr">
        <is>
          <t>B5</t>
        </is>
      </c>
      <c r="N170" t="inlineStr"/>
      <c r="O170" t="inlineStr">
        <is>
          <t>United Kingdom</t>
        </is>
      </c>
      <c r="P170" t="inlineStr">
        <is>
          <t>Global North</t>
        </is>
      </c>
      <c r="Q170" t="inlineStr"/>
      <c r="R170" t="inlineStr"/>
      <c r="S170" t="inlineStr"/>
      <c r="T170" t="inlineStr">
        <is>
          <t>qualitative</t>
        </is>
      </c>
      <c r="U170" t="inlineStr">
        <is>
          <t>Y</t>
        </is>
      </c>
      <c r="V170" t="inlineStr"/>
      <c r="W170" t="inlineStr">
        <is>
          <t>auto: This paper looks at the case of transgender Britons who tried to correct the gender listed on their government-issued ID cards, but ran up against the British government's increasingly computerized methods for tracking, identifying, and defining citizens.</t>
        </is>
      </c>
      <c r="X170" t="inlineStr"/>
      <c r="Y170" t="inlineStr"/>
      <c r="Z170" t="inlineStr">
        <is>
          <t>medium</t>
        </is>
      </c>
      <c r="AA170" t="inlineStr">
        <is>
          <t>B5:landmarks</t>
        </is>
      </c>
      <c r="AB170" t="inlineStr"/>
      <c r="AC170" t="n">
        <v>12.9885</v>
      </c>
    </row>
    <row r="171">
      <c r="A171" t="inlineStr">
        <is>
          <t>LM00170</t>
        </is>
      </c>
      <c r="B171" t="inlineStr">
        <is>
          <t>Advancing E-governance for development: Digital identification and its link to socioeconomic inclusion</t>
        </is>
      </c>
      <c r="C171" t="n">
        <v>2021</v>
      </c>
      <c r="D171" t="inlineStr">
        <is>
          <t>Atta Addo; Prince Kwame Senyo</t>
        </is>
      </c>
      <c r="E171" t="inlineStr">
        <is>
          <t>Government Information Quarterly</t>
        </is>
      </c>
      <c r="F171" t="inlineStr">
        <is>
          <t>article</t>
        </is>
      </c>
      <c r="G171" t="inlineStr">
        <is>
          <t>10.1016/j.giq.2021.101568</t>
        </is>
      </c>
      <c r="H171" t="inlineStr">
        <is>
          <t>W3121489355</t>
        </is>
      </c>
      <c r="I171" t="inlineStr">
        <is>
          <t>https://doi.org/10.1016/j.giq.2021.101568</t>
        </is>
      </c>
      <c r="J171" t="inlineStr"/>
      <c r="K171" t="n">
        <v>76</v>
      </c>
      <c r="L171" t="inlineStr">
        <is>
          <t>B</t>
        </is>
      </c>
      <c r="M171" t="inlineStr">
        <is>
          <t>B5</t>
        </is>
      </c>
      <c r="N171" t="inlineStr"/>
      <c r="O171" t="inlineStr"/>
      <c r="P171" t="inlineStr">
        <is>
          <t>Not place-specific</t>
        </is>
      </c>
      <c r="Q171" t="inlineStr"/>
      <c r="R171" t="inlineStr"/>
      <c r="S171" t="inlineStr"/>
      <c r="T171" t="inlineStr">
        <is>
          <t>unclear</t>
        </is>
      </c>
      <c r="U171" t="inlineStr">
        <is>
          <t>Y</t>
        </is>
      </c>
      <c r="V171" t="inlineStr"/>
      <c r="W171" t="inlineStr"/>
      <c r="X171" t="inlineStr"/>
      <c r="Y171" t="inlineStr"/>
      <c r="Z171" t="inlineStr">
        <is>
          <t>low</t>
        </is>
      </c>
      <c r="AA171" t="inlineStr">
        <is>
          <t>B5:landmarks</t>
        </is>
      </c>
      <c r="AB171" t="inlineStr"/>
      <c r="AC171" t="n">
        <v>36.0794</v>
      </c>
    </row>
    <row r="172">
      <c r="A172" t="inlineStr">
        <is>
          <t>LM00171</t>
        </is>
      </c>
      <c r="B172" t="inlineStr">
        <is>
          <t>Automated Muzzle Detection and Biometric Identification via Few-Shot Deep Transfer Learning of Mixed Breed Cattle</t>
        </is>
      </c>
      <c r="C172" t="n">
        <v>2021</v>
      </c>
      <c r="D172" t="inlineStr">
        <is>
          <t>Ali Shojaeipour; Greg Falzon; Paul Kwan; Nooshin Hadavi; Frances C. Cowley; David Paúl</t>
        </is>
      </c>
      <c r="E172" t="inlineStr">
        <is>
          <t>Agronomy</t>
        </is>
      </c>
      <c r="F172" t="inlineStr">
        <is>
          <t>article</t>
        </is>
      </c>
      <c r="G172" t="inlineStr">
        <is>
          <t>10.3390/agronomy11112365</t>
        </is>
      </c>
      <c r="H172" t="inlineStr">
        <is>
          <t>W3216213780</t>
        </is>
      </c>
      <c r="I172" t="inlineStr">
        <is>
          <t>https://doi.org/10.3390/agronomy11112365</t>
        </is>
      </c>
      <c r="J172" t="inlineStr">
        <is>
          <t>https://www.mdpi.com/2073-4395/11/11/2365/pdf?version=1637746743</t>
        </is>
      </c>
      <c r="K172" t="n">
        <v>75</v>
      </c>
      <c r="L172" t="inlineStr">
        <is>
          <t>B</t>
        </is>
      </c>
      <c r="M172" t="inlineStr">
        <is>
          <t>B5</t>
        </is>
      </c>
      <c r="N172" t="inlineStr"/>
      <c r="O172" t="inlineStr"/>
      <c r="P172" t="inlineStr">
        <is>
          <t>Not place-specific</t>
        </is>
      </c>
      <c r="Q172" t="inlineStr"/>
      <c r="R172" t="inlineStr"/>
      <c r="S172" t="inlineStr"/>
      <c r="T172" t="inlineStr">
        <is>
          <t>quantitative</t>
        </is>
      </c>
      <c r="U172" t="inlineStr">
        <is>
          <t>Y</t>
        </is>
      </c>
      <c r="V172" t="inlineStr"/>
      <c r="W172" t="inlineStr">
        <is>
          <t>auto: The objective of this study was to investigate and address key limitations to the autonomous biometric identification of cattle.</t>
        </is>
      </c>
      <c r="X172" t="inlineStr">
        <is>
          <t>auto: The objective of this study was to investigate and address key limitations to the autonomous biometric identification of cattle. | The contributions of this work are fourfold: (1) provision of a large publicly-available dataset of cattle face images (300 individual cattle) to facilitate further research in this field, (2) development of a two-stage YOLOv3-ResNet50 algorithm that first detects and extracts the cattle muzzle region in images and then applies deep transfer learning for biometric…</t>
        </is>
      </c>
      <c r="Y172" t="inlineStr"/>
      <c r="Z172" t="inlineStr">
        <is>
          <t>high</t>
        </is>
      </c>
      <c r="AA172" t="inlineStr">
        <is>
          <t>B5:landmarks</t>
        </is>
      </c>
      <c r="AB172" t="inlineStr"/>
      <c r="AC172" t="n">
        <v>5.8272</v>
      </c>
    </row>
    <row r="173">
      <c r="A173" t="inlineStr">
        <is>
          <t>LM00172</t>
        </is>
      </c>
      <c r="B173" t="inlineStr">
        <is>
          <t>Security, Risk and the Biometric State: Governing Borders and Bodies</t>
        </is>
      </c>
      <c r="C173" t="n">
        <v>2010</v>
      </c>
      <c r="D173" t="inlineStr">
        <is>
          <t>Benjamin Müller</t>
        </is>
      </c>
      <c r="E173" t="inlineStr"/>
      <c r="F173" t="inlineStr">
        <is>
          <t>other</t>
        </is>
      </c>
      <c r="G173" t="inlineStr"/>
      <c r="H173" t="inlineStr">
        <is>
          <t>W1481199963</t>
        </is>
      </c>
      <c r="I173" t="inlineStr">
        <is>
          <t>https://ebookcentral.proquest.com/lib/munchentech/detail.action?docID=484781</t>
        </is>
      </c>
      <c r="J173" t="inlineStr"/>
      <c r="K173" t="n">
        <v>75</v>
      </c>
      <c r="L173" t="inlineStr">
        <is>
          <t>B</t>
        </is>
      </c>
      <c r="M173" t="inlineStr">
        <is>
          <t>B5</t>
        </is>
      </c>
      <c r="N173" t="inlineStr"/>
      <c r="O173" t="inlineStr">
        <is>
          <t>Canada; Ireland</t>
        </is>
      </c>
      <c r="P173" t="inlineStr">
        <is>
          <t>Global North</t>
        </is>
      </c>
      <c r="Q173" t="inlineStr"/>
      <c r="R173" t="inlineStr"/>
      <c r="S173" t="inlineStr"/>
      <c r="T173" t="inlineStr">
        <is>
          <t>conceptual</t>
        </is>
      </c>
      <c r="U173" t="inlineStr">
        <is>
          <t>Y</t>
        </is>
      </c>
      <c r="V173" t="inlineStr"/>
      <c r="W173" t="inlineStr">
        <is>
          <t>auto: This book examines a series of questions associated with the increasing application and implications of biometrics in contemporary everyday life.</t>
        </is>
      </c>
      <c r="X173" t="inlineStr"/>
      <c r="Y173" t="inlineStr"/>
      <c r="Z173" t="inlineStr">
        <is>
          <t>high</t>
        </is>
      </c>
      <c r="AA173" t="inlineStr">
        <is>
          <t>B5:landmarks</t>
        </is>
      </c>
      <c r="AB173" t="inlineStr"/>
    </row>
    <row r="174">
      <c r="A174" t="inlineStr">
        <is>
          <t>LM00173</t>
        </is>
      </c>
      <c r="B174" t="inlineStr">
        <is>
          <t>“Money Is Your Government”: Refugees, Mobility, and Unstable Documents in Kenya’s Operation Usalama Watch</t>
        </is>
      </c>
      <c r="C174" t="n">
        <v>2016</v>
      </c>
      <c r="D174" t="inlineStr">
        <is>
          <t>Sophia Balakian</t>
        </is>
      </c>
      <c r="E174" t="inlineStr">
        <is>
          <t>African Studies Review</t>
        </is>
      </c>
      <c r="F174" t="inlineStr">
        <is>
          <t>article</t>
        </is>
      </c>
      <c r="G174" t="inlineStr">
        <is>
          <t>10.1017/asr.2016.36</t>
        </is>
      </c>
      <c r="H174" t="inlineStr">
        <is>
          <t>W2508086296</t>
        </is>
      </c>
      <c r="I174" t="inlineStr">
        <is>
          <t>https://doi.org/10.1017/asr.2016.36</t>
        </is>
      </c>
      <c r="J174" t="inlineStr"/>
      <c r="K174" t="n">
        <v>74</v>
      </c>
      <c r="L174" t="inlineStr">
        <is>
          <t>B</t>
        </is>
      </c>
      <c r="M174" t="inlineStr">
        <is>
          <t>B5</t>
        </is>
      </c>
      <c r="N174" t="inlineStr"/>
      <c r="O174" t="inlineStr">
        <is>
          <t>Kenya; Nairobi</t>
        </is>
      </c>
      <c r="P174" t="inlineStr">
        <is>
          <t>Africa</t>
        </is>
      </c>
      <c r="Q174" t="inlineStr"/>
      <c r="R174" t="inlineStr"/>
      <c r="S174" t="inlineStr"/>
      <c r="T174" t="inlineStr">
        <is>
          <t>conceptual</t>
        </is>
      </c>
      <c r="U174" t="inlineStr">
        <is>
          <t>Y</t>
        </is>
      </c>
      <c r="V174" t="inlineStr"/>
      <c r="W174" t="inlineStr">
        <is>
          <t>auto: Abstract: During a 2014 security operation in Kenya known as Operation Usalama Watch, Somali refugees spoke of money as their only valid ID, knowing that only cash, in contrast to identity documents, would be accepted by police and military.</t>
        </is>
      </c>
      <c r="X174" t="inlineStr"/>
      <c r="Y174" t="inlineStr"/>
      <c r="Z174" t="inlineStr">
        <is>
          <t>medium</t>
        </is>
      </c>
      <c r="AA174" t="inlineStr">
        <is>
          <t>B5:landmarks</t>
        </is>
      </c>
      <c r="AB174" t="inlineStr"/>
      <c r="AC174" t="n">
        <v>8.5761</v>
      </c>
    </row>
    <row r="175">
      <c r="A175" t="inlineStr">
        <is>
          <t>LM00174</t>
        </is>
      </c>
      <c r="B175" t="inlineStr">
        <is>
          <t>Fixing State Vision: Interoperability, Biometrics, and Identity Management in the EU</t>
        </is>
      </c>
      <c r="C175" t="n">
        <v>2020</v>
      </c>
      <c r="D175" t="inlineStr">
        <is>
          <t>Matthias Leese</t>
        </is>
      </c>
      <c r="E175" t="inlineStr">
        <is>
          <t>Geopolitics</t>
        </is>
      </c>
      <c r="F175" t="inlineStr">
        <is>
          <t>article</t>
        </is>
      </c>
      <c r="G175" t="inlineStr">
        <is>
          <t>10.1080/14650045.2020.1830764</t>
        </is>
      </c>
      <c r="H175" t="inlineStr">
        <is>
          <t>W3095849054</t>
        </is>
      </c>
      <c r="I175" t="inlineStr">
        <is>
          <t>https://doi.org/10.1080/14650045.2020.1830764</t>
        </is>
      </c>
      <c r="J175" t="inlineStr">
        <is>
          <t>https://doi.org/10.5167/uzh-434037</t>
        </is>
      </c>
      <c r="K175" t="n">
        <v>72</v>
      </c>
      <c r="L175" t="inlineStr">
        <is>
          <t>B</t>
        </is>
      </c>
      <c r="M175" t="inlineStr">
        <is>
          <t>B5</t>
        </is>
      </c>
      <c r="N175" t="inlineStr"/>
      <c r="O175" t="inlineStr">
        <is>
          <t>European</t>
        </is>
      </c>
      <c r="P175" t="inlineStr">
        <is>
          <t>Global North</t>
        </is>
      </c>
      <c r="Q175" t="inlineStr"/>
      <c r="R175" t="inlineStr"/>
      <c r="S175" t="inlineStr"/>
      <c r="T175" t="inlineStr">
        <is>
          <t>unclear</t>
        </is>
      </c>
      <c r="U175" t="inlineStr">
        <is>
          <t>Y</t>
        </is>
      </c>
      <c r="V175" t="inlineStr"/>
      <c r="W175" t="inlineStr">
        <is>
          <t>auto: Building on Scott’s notion of identity as a key concept in early modern statehood, this paper historically contextualises and analyses the current political re-problematisation of identity in the EU.</t>
        </is>
      </c>
      <c r="X175" t="inlineStr"/>
      <c r="Y175" t="inlineStr"/>
      <c r="Z175" t="inlineStr">
        <is>
          <t>high</t>
        </is>
      </c>
      <c r="AA175" t="inlineStr">
        <is>
          <t>B5:landmarks</t>
        </is>
      </c>
      <c r="AB175" t="inlineStr"/>
      <c r="AC175" t="n">
        <v>25.2496</v>
      </c>
    </row>
    <row r="176">
      <c r="A176" t="inlineStr">
        <is>
          <t>LM00175</t>
        </is>
      </c>
      <c r="B176" t="inlineStr">
        <is>
          <t>Uneven Borders, Coloured (Im)mobilities: ID Cards in Palestine/Israel</t>
        </is>
      </c>
      <c r="C176" t="n">
        <v>2012</v>
      </c>
      <c r="D176" t="inlineStr">
        <is>
          <t>Helga Tawil‐Souri</t>
        </is>
      </c>
      <c r="E176" t="inlineStr">
        <is>
          <t>Geopolitics</t>
        </is>
      </c>
      <c r="F176" t="inlineStr">
        <is>
          <t>article</t>
        </is>
      </c>
      <c r="G176" t="inlineStr">
        <is>
          <t>10.1080/14650045.2011.562944</t>
        </is>
      </c>
      <c r="H176" t="inlineStr">
        <is>
          <t>W2080485807</t>
        </is>
      </c>
      <c r="I176" t="inlineStr">
        <is>
          <t>https://doi.org/10.1080/14650045.2011.562944</t>
        </is>
      </c>
      <c r="J176" t="inlineStr"/>
      <c r="K176" t="n">
        <v>71</v>
      </c>
      <c r="L176" t="inlineStr">
        <is>
          <t>B</t>
        </is>
      </c>
      <c r="M176" t="inlineStr">
        <is>
          <t>B5</t>
        </is>
      </c>
      <c r="N176" t="inlineStr"/>
      <c r="O176" t="inlineStr">
        <is>
          <t>Israel; Jerusalem; Palestine</t>
        </is>
      </c>
      <c r="P176" t="inlineStr">
        <is>
          <t>Middle East</t>
        </is>
      </c>
      <c r="Q176" t="inlineStr"/>
      <c r="R176" t="inlineStr"/>
      <c r="S176" t="inlineStr"/>
      <c r="T176" t="inlineStr">
        <is>
          <t>unclear</t>
        </is>
      </c>
      <c r="U176" t="inlineStr">
        <is>
          <t>Y</t>
        </is>
      </c>
      <c r="V176" t="inlineStr"/>
      <c r="W176" t="inlineStr">
        <is>
          <t>auto: The Israeli state apparatus mandates differentiated IDs to Palestinian citizens of Israel, Palestinian non-citizens in East Jerusalem, Palestinians in the West Bank and Gaza.</t>
        </is>
      </c>
      <c r="X176" t="inlineStr"/>
      <c r="Y176" t="inlineStr"/>
      <c r="Z176" t="inlineStr">
        <is>
          <t>high</t>
        </is>
      </c>
      <c r="AA176" t="inlineStr">
        <is>
          <t>B5:landmarks</t>
        </is>
      </c>
      <c r="AB176" t="inlineStr"/>
      <c r="AC176" t="n">
        <v>3.1466</v>
      </c>
    </row>
    <row r="177">
      <c r="A177" t="inlineStr">
        <is>
          <t>LM00176</t>
        </is>
      </c>
      <c r="B177" t="inlineStr">
        <is>
          <t>Aiding Surveillance: An Exploration of How Development and Humanitarian Aid Initiatives are Enabling Surveillance in Developing Countries</t>
        </is>
      </c>
      <c r="C177" t="n">
        <v>2013</v>
      </c>
      <c r="D177" t="inlineStr">
        <is>
          <t>Gus Hosein; Carly Nyst</t>
        </is>
      </c>
      <c r="E177" t="inlineStr">
        <is>
          <t>SSRN Electronic Journal</t>
        </is>
      </c>
      <c r="F177" t="inlineStr">
        <is>
          <t>preprint</t>
        </is>
      </c>
      <c r="G177" t="inlineStr">
        <is>
          <t>10.2139/ssrn.2326229</t>
        </is>
      </c>
      <c r="H177" t="inlineStr">
        <is>
          <t>W1574475636</t>
        </is>
      </c>
      <c r="I177" t="inlineStr">
        <is>
          <t>https://doi.org/10.2139/ssrn.2326229</t>
        </is>
      </c>
      <c r="J177" t="inlineStr">
        <is>
          <t>https://doi.org/10.2139/ssrn.2326229</t>
        </is>
      </c>
      <c r="K177" t="n">
        <v>71</v>
      </c>
      <c r="L177" t="inlineStr">
        <is>
          <t>B</t>
        </is>
      </c>
      <c r="M177" t="inlineStr">
        <is>
          <t>B5</t>
        </is>
      </c>
      <c r="N177" t="inlineStr"/>
      <c r="O177" t="inlineStr"/>
      <c r="P177" t="inlineStr">
        <is>
          <t>Not place-specific</t>
        </is>
      </c>
      <c r="Q177" t="inlineStr"/>
      <c r="R177" t="inlineStr"/>
      <c r="S177" t="inlineStr"/>
      <c r="T177" t="inlineStr">
        <is>
          <t>unclear</t>
        </is>
      </c>
      <c r="U177" t="inlineStr">
        <is>
          <t>Y</t>
        </is>
      </c>
      <c r="V177" t="inlineStr"/>
      <c r="W177" t="inlineStr"/>
      <c r="X177" t="inlineStr"/>
      <c r="Y177" t="inlineStr"/>
      <c r="Z177" t="inlineStr">
        <is>
          <t>low</t>
        </is>
      </c>
      <c r="AA177" t="inlineStr">
        <is>
          <t>B5:landmarks</t>
        </is>
      </c>
      <c r="AB177" t="inlineStr"/>
    </row>
    <row r="178">
      <c r="A178" t="inlineStr">
        <is>
          <t>LM00177</t>
        </is>
      </c>
      <c r="B178" t="inlineStr">
        <is>
          <t>Impact of Aadhaar in Welfare Programmes</t>
        </is>
      </c>
      <c r="C178" t="n">
        <v>2017</v>
      </c>
      <c r="D178" t="inlineStr">
        <is>
          <t>Reetika Khera</t>
        </is>
      </c>
      <c r="E178" t="inlineStr">
        <is>
          <t>SSRN Electronic Journal</t>
        </is>
      </c>
      <c r="F178" t="inlineStr">
        <is>
          <t>preprint</t>
        </is>
      </c>
      <c r="G178" t="inlineStr">
        <is>
          <t>10.2139/ssrn.3045235</t>
        </is>
      </c>
      <c r="H178" t="inlineStr">
        <is>
          <t>W2771451103</t>
        </is>
      </c>
      <c r="I178" t="inlineStr">
        <is>
          <t>https://doi.org/10.2139/ssrn.3045235</t>
        </is>
      </c>
      <c r="J178" t="inlineStr">
        <is>
          <t>https://doi.org/10.2139/ssrn.3045235</t>
        </is>
      </c>
      <c r="K178" t="n">
        <v>66</v>
      </c>
      <c r="L178" t="inlineStr">
        <is>
          <t>B</t>
        </is>
      </c>
      <c r="M178" t="inlineStr">
        <is>
          <t>B5</t>
        </is>
      </c>
      <c r="N178" t="inlineStr"/>
      <c r="O178" t="inlineStr"/>
      <c r="P178" t="inlineStr">
        <is>
          <t>Not place-specific</t>
        </is>
      </c>
      <c r="Q178" t="inlineStr"/>
      <c r="R178" t="inlineStr"/>
      <c r="S178" t="inlineStr"/>
      <c r="T178" t="inlineStr">
        <is>
          <t>unclear</t>
        </is>
      </c>
      <c r="U178" t="inlineStr"/>
      <c r="V178" t="inlineStr"/>
      <c r="W178" t="inlineStr"/>
      <c r="X178" t="inlineStr"/>
      <c r="Y178" t="inlineStr"/>
      <c r="Z178" t="inlineStr">
        <is>
          <t>low</t>
        </is>
      </c>
      <c r="AA178" t="inlineStr">
        <is>
          <t>B5:india</t>
        </is>
      </c>
      <c r="AB178" t="inlineStr"/>
    </row>
    <row r="179">
      <c r="A179" t="inlineStr">
        <is>
          <t>LM00178</t>
        </is>
      </c>
      <c r="B179" t="inlineStr">
        <is>
          <t>Seeing Like an Infrastructure: Low-resolution Citizens and the Aadhaar Identification Project</t>
        </is>
      </c>
      <c r="C179" t="n">
        <v>2021</v>
      </c>
      <c r="D179" t="inlineStr">
        <is>
          <t>Ranjit Singh; Steven J. Jackson</t>
        </is>
      </c>
      <c r="E179" t="inlineStr">
        <is>
          <t>Proceedings of the ACM on Human-Computer Interaction</t>
        </is>
      </c>
      <c r="F179" t="inlineStr">
        <is>
          <t>article</t>
        </is>
      </c>
      <c r="G179" t="inlineStr">
        <is>
          <t>10.1145/3476056</t>
        </is>
      </c>
      <c r="H179" t="inlineStr">
        <is>
          <t>W3207819680</t>
        </is>
      </c>
      <c r="I179" t="inlineStr">
        <is>
          <t>https://doi.org/10.1145/3476056</t>
        </is>
      </c>
      <c r="J179" t="inlineStr">
        <is>
          <t>https://dl.acm.org/doi/pdf/10.1145/3476056</t>
        </is>
      </c>
      <c r="K179" t="n">
        <v>56</v>
      </c>
      <c r="L179" t="inlineStr">
        <is>
          <t>B</t>
        </is>
      </c>
      <c r="M179" t="inlineStr">
        <is>
          <t>B5</t>
        </is>
      </c>
      <c r="N179" t="inlineStr"/>
      <c r="O179" t="inlineStr">
        <is>
          <t>India</t>
        </is>
      </c>
      <c r="P179" t="inlineStr">
        <is>
          <t>South Asia</t>
        </is>
      </c>
      <c r="Q179" t="inlineStr">
        <is>
          <t>Y</t>
        </is>
      </c>
      <c r="R179" t="inlineStr"/>
      <c r="S179" t="inlineStr"/>
      <c r="T179" t="inlineStr">
        <is>
          <t>qualitative</t>
        </is>
      </c>
      <c r="U179" t="inlineStr"/>
      <c r="V179" t="inlineStr"/>
      <c r="W179" t="inlineStr">
        <is>
          <t>auto: Drawing on eighteen months of ethnographic fieldwork into Aadhaar, India's biometrics-based identification project, and studies of infrastructure, marginalization, and citizenship in CSCW and allied fields, we argue that this perspective provides crucial insight into the strategies and mechanisms…</t>
        </is>
      </c>
      <c r="X179" t="inlineStr"/>
      <c r="Y179" t="inlineStr"/>
      <c r="Z179" t="inlineStr">
        <is>
          <t>high</t>
        </is>
      </c>
      <c r="AA179" t="inlineStr">
        <is>
          <t>B5:india</t>
        </is>
      </c>
      <c r="AB179" t="inlineStr"/>
      <c r="AC179" t="n">
        <v>21.8155</v>
      </c>
    </row>
    <row r="180">
      <c r="A180" t="inlineStr">
        <is>
          <t>LM00179</t>
        </is>
      </c>
      <c r="B180" t="inlineStr">
        <is>
          <t>The Unique Identity (UID) Project, Biometrics and Re-Imagining Governance in India</t>
        </is>
      </c>
      <c r="C180" t="n">
        <v>2014</v>
      </c>
      <c r="D180" t="inlineStr">
        <is>
          <t>Swagato Sarkar</t>
        </is>
      </c>
      <c r="E180" t="inlineStr">
        <is>
          <t>Oxford Development Studies</t>
        </is>
      </c>
      <c r="F180" t="inlineStr">
        <is>
          <t>article</t>
        </is>
      </c>
      <c r="G180" t="inlineStr">
        <is>
          <t>10.1080/13600818.2014.924493</t>
        </is>
      </c>
      <c r="H180" t="inlineStr">
        <is>
          <t>W1972431889</t>
        </is>
      </c>
      <c r="I180" t="inlineStr">
        <is>
          <t>https://doi.org/10.1080/13600818.2014.924493</t>
        </is>
      </c>
      <c r="J180" t="inlineStr"/>
      <c r="K180" t="n">
        <v>54</v>
      </c>
      <c r="L180" t="inlineStr">
        <is>
          <t>B</t>
        </is>
      </c>
      <c r="M180" t="inlineStr">
        <is>
          <t>B5</t>
        </is>
      </c>
      <c r="N180" t="inlineStr"/>
      <c r="O180" t="inlineStr">
        <is>
          <t>India</t>
        </is>
      </c>
      <c r="P180" t="inlineStr">
        <is>
          <t>South Asia</t>
        </is>
      </c>
      <c r="Q180" t="inlineStr">
        <is>
          <t>Y</t>
        </is>
      </c>
      <c r="R180" t="inlineStr"/>
      <c r="S180" t="inlineStr"/>
      <c r="T180" t="inlineStr">
        <is>
          <t>conceptual</t>
        </is>
      </c>
      <c r="U180" t="inlineStr"/>
      <c r="V180" t="inlineStr"/>
      <c r="W180" t="inlineStr">
        <is>
          <t>auto: This paper seeks to understand what is at stake politically in this technological intervention.</t>
        </is>
      </c>
      <c r="X180" t="inlineStr"/>
      <c r="Y180" t="inlineStr"/>
      <c r="Z180" t="inlineStr">
        <is>
          <t>high</t>
        </is>
      </c>
      <c r="AA180" t="inlineStr">
        <is>
          <t>B5:india</t>
        </is>
      </c>
      <c r="AB180" t="inlineStr"/>
      <c r="AC180" t="n">
        <v>13.068</v>
      </c>
    </row>
    <row r="181">
      <c r="A181" t="inlineStr">
        <is>
          <t>LM00180</t>
        </is>
      </c>
      <c r="B181" t="inlineStr">
        <is>
          <t>Stacking up the Benefits: Lessons from India’s Digital Journey</t>
        </is>
      </c>
      <c r="C181" t="n">
        <v>2023</v>
      </c>
      <c r="D181" t="inlineStr">
        <is>
          <t>Cristian Alonso; Tanuj Bhojwani; Emine Hanedar; Dinar Prihardini; Gerardo Uña; Kateryna Zhabska</t>
        </is>
      </c>
      <c r="E181" t="inlineStr">
        <is>
          <t>IMF Working Paper</t>
        </is>
      </c>
      <c r="F181" t="inlineStr">
        <is>
          <t>article</t>
        </is>
      </c>
      <c r="G181" t="inlineStr">
        <is>
          <t>10.5089/9798400240416.001</t>
        </is>
      </c>
      <c r="H181" t="inlineStr">
        <is>
          <t>W4365813954</t>
        </is>
      </c>
      <c r="I181" t="inlineStr">
        <is>
          <t>https://doi.org/10.5089/9798400240416.001</t>
        </is>
      </c>
      <c r="J181" t="inlineStr">
        <is>
          <t>https://www.elibrary.imf.org/downloadpdf/journals/001/2023/078/001.2023.issue-078-en.xml</t>
        </is>
      </c>
      <c r="K181" t="n">
        <v>52</v>
      </c>
      <c r="L181" t="inlineStr">
        <is>
          <t>B</t>
        </is>
      </c>
      <c r="M181" t="inlineStr">
        <is>
          <t>B5</t>
        </is>
      </c>
      <c r="N181" t="inlineStr"/>
      <c r="O181" t="inlineStr">
        <is>
          <t>India</t>
        </is>
      </c>
      <c r="P181" t="inlineStr">
        <is>
          <t>South Asia</t>
        </is>
      </c>
      <c r="Q181" t="inlineStr">
        <is>
          <t>Y</t>
        </is>
      </c>
      <c r="R181" t="inlineStr"/>
      <c r="S181" t="inlineStr"/>
      <c r="T181" t="inlineStr">
        <is>
          <t>unclear</t>
        </is>
      </c>
      <c r="U181" t="inlineStr"/>
      <c r="V181" t="inlineStr">
        <is>
          <t>Y</t>
        </is>
      </c>
      <c r="W181" t="inlineStr">
        <is>
          <t>auto: Foundational digital public infrastructure (DPI), consisting of unique digital identification, payments system and data exchange layer has the potential to support the transformation of the economy and support inclusive growth.</t>
        </is>
      </c>
      <c r="X181" t="inlineStr">
        <is>
          <t>auto: India’s foundational DPI, called India Stack, has been harnessed to foster innovation and competition, expand markets, close gaps in financial inclusion, boost government revenue collection and improve public expenditure efficiency.</t>
        </is>
      </c>
      <c r="Y181" t="inlineStr"/>
      <c r="Z181" t="inlineStr">
        <is>
          <t>high</t>
        </is>
      </c>
      <c r="AA181" t="inlineStr">
        <is>
          <t>B5:india; B5:recent</t>
        </is>
      </c>
      <c r="AB181" t="inlineStr"/>
      <c r="AC181" t="n">
        <v>54.0378</v>
      </c>
    </row>
    <row r="182">
      <c r="A182" t="inlineStr">
        <is>
          <t>LM00181</t>
        </is>
      </c>
      <c r="B182" t="inlineStr">
        <is>
          <t>Aadhaar and data privacy: biometric identification and anxieties of recognition in India</t>
        </is>
      </c>
      <c r="C182" t="n">
        <v>2019</v>
      </c>
      <c r="D182" t="inlineStr">
        <is>
          <t>Pawan Singh</t>
        </is>
      </c>
      <c r="E182" t="inlineStr">
        <is>
          <t>Information Communication &amp; Society</t>
        </is>
      </c>
      <c r="F182" t="inlineStr">
        <is>
          <t>article</t>
        </is>
      </c>
      <c r="G182" t="inlineStr">
        <is>
          <t>10.1080/1369118x.2019.1668459</t>
        </is>
      </c>
      <c r="H182" t="inlineStr">
        <is>
          <t>W2979994823</t>
        </is>
      </c>
      <c r="I182" t="inlineStr">
        <is>
          <t>https://doi.org/10.1080/1369118x.2019.1668459</t>
        </is>
      </c>
      <c r="J182" t="inlineStr"/>
      <c r="K182" t="n">
        <v>48</v>
      </c>
      <c r="L182" t="inlineStr">
        <is>
          <t>B</t>
        </is>
      </c>
      <c r="M182" t="inlineStr">
        <is>
          <t>B5</t>
        </is>
      </c>
      <c r="N182" t="inlineStr"/>
      <c r="O182" t="inlineStr">
        <is>
          <t>India</t>
        </is>
      </c>
      <c r="P182" t="inlineStr">
        <is>
          <t>South Asia</t>
        </is>
      </c>
      <c r="Q182" t="inlineStr">
        <is>
          <t>Y</t>
        </is>
      </c>
      <c r="R182" t="inlineStr"/>
      <c r="S182" t="inlineStr"/>
      <c r="T182" t="inlineStr">
        <is>
          <t>qualitative</t>
        </is>
      </c>
      <c r="U182" t="inlineStr"/>
      <c r="V182" t="inlineStr"/>
      <c r="W182" t="inlineStr">
        <is>
          <t>auto: Given the disproportionate burden on these populations to prove their identities to the state, this paper draws on a close reading of legal and policy texts, and activist documentation to argue that there is a need to move beyond the narrative of mass surveillance as privacy violation.</t>
        </is>
      </c>
      <c r="X182" t="inlineStr"/>
      <c r="Y182" t="inlineStr"/>
      <c r="Z182" t="inlineStr">
        <is>
          <t>high</t>
        </is>
      </c>
      <c r="AA182" t="inlineStr">
        <is>
          <t>B5:india</t>
        </is>
      </c>
      <c r="AB182" t="inlineStr"/>
      <c r="AC182" t="n">
        <v>6.0372</v>
      </c>
    </row>
    <row r="183">
      <c r="A183" t="inlineStr">
        <is>
          <t>LM00182</t>
        </is>
      </c>
      <c r="B183" t="inlineStr">
        <is>
          <t>India stack---digital infrastructure as public good</t>
        </is>
      </c>
      <c r="C183" t="n">
        <v>2019</v>
      </c>
      <c r="D183" t="inlineStr">
        <is>
          <t>Vivek Raghavan; Sanjay Jain; P. Satya Shekar Varma</t>
        </is>
      </c>
      <c r="E183" t="inlineStr">
        <is>
          <t>Communications of the ACM</t>
        </is>
      </c>
      <c r="F183" t="inlineStr">
        <is>
          <t>article</t>
        </is>
      </c>
      <c r="G183" t="inlineStr">
        <is>
          <t>10.1145/3355625</t>
        </is>
      </c>
      <c r="H183" t="inlineStr">
        <is>
          <t>W2981899549</t>
        </is>
      </c>
      <c r="I183" t="inlineStr">
        <is>
          <t>https://doi.org/10.1145/3355625</t>
        </is>
      </c>
      <c r="J183" t="inlineStr"/>
      <c r="K183" t="n">
        <v>48</v>
      </c>
      <c r="L183" t="inlineStr">
        <is>
          <t>B</t>
        </is>
      </c>
      <c r="M183" t="inlineStr">
        <is>
          <t>B5</t>
        </is>
      </c>
      <c r="N183" t="inlineStr"/>
      <c r="O183" t="inlineStr">
        <is>
          <t>Bangalore; India</t>
        </is>
      </c>
      <c r="P183" t="inlineStr">
        <is>
          <t>South Asia</t>
        </is>
      </c>
      <c r="Q183" t="inlineStr">
        <is>
          <t>Y</t>
        </is>
      </c>
      <c r="R183" t="inlineStr"/>
      <c r="S183" t="inlineStr"/>
      <c r="T183" t="inlineStr">
        <is>
          <t>unclear</t>
        </is>
      </c>
      <c r="U183" t="inlineStr"/>
      <c r="V183" t="inlineStr"/>
      <c r="W183" t="inlineStr">
        <is>
          <t>auto: research-article Share on India stack---digital infrastructure as public good Authors: Vivek Raghavan UIDAI, Bangalore, India UIDAI, Bangalore, IndiaView Profile , Sanjay Jain IIMA, Bangalore, India IIMA, Bangalore, IndiaView Profile , Pramod Varma UIDAI, Bangalore, India UIDAI, Bangalore, IndiaV…</t>
        </is>
      </c>
      <c r="X183" t="inlineStr"/>
      <c r="Y183" t="inlineStr"/>
      <c r="Z183" t="inlineStr">
        <is>
          <t>high</t>
        </is>
      </c>
      <c r="AA183" t="inlineStr">
        <is>
          <t>B5:india</t>
        </is>
      </c>
      <c r="AB183" t="inlineStr"/>
      <c r="AC183" t="n">
        <v>2.2018</v>
      </c>
    </row>
    <row r="184">
      <c r="A184" t="inlineStr">
        <is>
          <t>LM00183</t>
        </is>
      </c>
      <c r="B184" t="inlineStr">
        <is>
          <t>“Governtrepreneurism” for good governance: The case of Aadhaar and the India Stack</t>
        </is>
      </c>
      <c r="C184" t="n">
        <v>2019</v>
      </c>
      <c r="D184" t="inlineStr">
        <is>
          <t>Kavita Dattani</t>
        </is>
      </c>
      <c r="E184" t="inlineStr">
        <is>
          <t>Area</t>
        </is>
      </c>
      <c r="F184" t="inlineStr">
        <is>
          <t>article</t>
        </is>
      </c>
      <c r="G184" t="inlineStr">
        <is>
          <t>10.1111/area.12579</t>
        </is>
      </c>
      <c r="H184" t="inlineStr">
        <is>
          <t>W2971834657</t>
        </is>
      </c>
      <c r="I184" t="inlineStr">
        <is>
          <t>https://doi.org/10.1111/area.12579</t>
        </is>
      </c>
      <c r="J184" t="inlineStr">
        <is>
          <t>https://doi.org/10.1111/area.12579</t>
        </is>
      </c>
      <c r="K184" t="n">
        <v>40</v>
      </c>
      <c r="L184" t="inlineStr">
        <is>
          <t>B</t>
        </is>
      </c>
      <c r="M184" t="inlineStr">
        <is>
          <t>B5</t>
        </is>
      </c>
      <c r="N184" t="inlineStr"/>
      <c r="O184" t="inlineStr">
        <is>
          <t>European; India</t>
        </is>
      </c>
      <c r="P184" t="inlineStr">
        <is>
          <t>Multi-region</t>
        </is>
      </c>
      <c r="Q184" t="inlineStr">
        <is>
          <t>Y</t>
        </is>
      </c>
      <c r="R184" t="inlineStr"/>
      <c r="S184" t="inlineStr"/>
      <c r="T184" t="inlineStr">
        <is>
          <t>qualitative</t>
        </is>
      </c>
      <c r="U184" t="inlineStr"/>
      <c r="V184" t="inlineStr"/>
      <c r="W184" t="inlineStr">
        <is>
          <t>auto: This paper uses this case to explore how the in‐sourcing of technology into means of governing, behind a front of participatory “good governance,” is contributing to the historical trajectory of citizenship regimes in India.</t>
        </is>
      </c>
      <c r="X184" t="inlineStr"/>
      <c r="Y184" t="inlineStr"/>
      <c r="Z184" t="inlineStr">
        <is>
          <t>high</t>
        </is>
      </c>
      <c r="AA184" t="inlineStr">
        <is>
          <t>B5:india</t>
        </is>
      </c>
      <c r="AB184" t="inlineStr"/>
      <c r="AC184" t="n">
        <v>17.783</v>
      </c>
    </row>
    <row r="185">
      <c r="A185" t="inlineStr">
        <is>
          <t>LM00184</t>
        </is>
      </c>
      <c r="B185" t="inlineStr">
        <is>
          <t>Digital identity, datafication and social justice: understanding Aadhaar use among informal workers in south India</t>
        </is>
      </c>
      <c r="C185" t="n">
        <v>2020</v>
      </c>
      <c r="D185" t="inlineStr">
        <is>
          <t>Shyam Krishna</t>
        </is>
      </c>
      <c r="E185" t="inlineStr">
        <is>
          <t>Information Technology for Development</t>
        </is>
      </c>
      <c r="F185" t="inlineStr">
        <is>
          <t>article</t>
        </is>
      </c>
      <c r="G185" t="inlineStr">
        <is>
          <t>10.1080/02681102.2020.1818544</t>
        </is>
      </c>
      <c r="H185" t="inlineStr">
        <is>
          <t>W3094080533</t>
        </is>
      </c>
      <c r="I185" t="inlineStr">
        <is>
          <t>https://doi.org/10.1080/02681102.2020.1818544</t>
        </is>
      </c>
      <c r="J185" t="inlineStr"/>
      <c r="K185" t="n">
        <v>35</v>
      </c>
      <c r="L185" t="inlineStr">
        <is>
          <t>B</t>
        </is>
      </c>
      <c r="M185" t="inlineStr">
        <is>
          <t>B5</t>
        </is>
      </c>
      <c r="N185" t="inlineStr"/>
      <c r="O185" t="inlineStr">
        <is>
          <t>India</t>
        </is>
      </c>
      <c r="P185" t="inlineStr">
        <is>
          <t>South Asia</t>
        </is>
      </c>
      <c r="Q185" t="inlineStr">
        <is>
          <t>Y</t>
        </is>
      </c>
      <c r="R185" t="inlineStr"/>
      <c r="S185" t="inlineStr"/>
      <c r="T185" t="inlineStr">
        <is>
          <t>qualitative</t>
        </is>
      </c>
      <c r="U185" t="inlineStr"/>
      <c r="V185" t="inlineStr"/>
      <c r="W185" t="inlineStr">
        <is>
          <t>auto: Aadhaar, India's national biometric digital identity program aims to provide 12-digit number for every Indian resident.</t>
        </is>
      </c>
      <c r="X185" t="inlineStr"/>
      <c r="Y185" t="inlineStr"/>
      <c r="Z185" t="inlineStr">
        <is>
          <t>high</t>
        </is>
      </c>
      <c r="AA185" t="inlineStr">
        <is>
          <t>B5:india</t>
        </is>
      </c>
      <c r="AB185" t="inlineStr"/>
      <c r="AC185" t="n">
        <v>5.5861</v>
      </c>
    </row>
    <row r="186">
      <c r="A186" t="inlineStr">
        <is>
          <t>LM00185</t>
        </is>
      </c>
      <c r="B186" t="inlineStr">
        <is>
          <t>Wallet wars or digital public infrastructure? Orchestrating a digital identity data ecosystem from a government perspective</t>
        </is>
      </c>
      <c r="C186" t="n">
        <v>2024</v>
      </c>
      <c r="D186" t="inlineStr">
        <is>
          <t>Konrad Degen; Timm Teubner</t>
        </is>
      </c>
      <c r="E186" t="inlineStr">
        <is>
          <t>Electronic Markets</t>
        </is>
      </c>
      <c r="F186" t="inlineStr">
        <is>
          <t>article</t>
        </is>
      </c>
      <c r="G186" t="inlineStr">
        <is>
          <t>10.1007/s12525-024-00731-1</t>
        </is>
      </c>
      <c r="H186" t="inlineStr">
        <is>
          <t>W4403108657</t>
        </is>
      </c>
      <c r="I186" t="inlineStr">
        <is>
          <t>https://doi.org/10.1007/s12525-024-00731-1</t>
        </is>
      </c>
      <c r="J186" t="inlineStr">
        <is>
          <t>https://link.springer.com/content/pdf/10.1007/s12525-024-00731-1.pdf</t>
        </is>
      </c>
      <c r="K186" t="n">
        <v>28</v>
      </c>
      <c r="L186" t="inlineStr">
        <is>
          <t>B</t>
        </is>
      </c>
      <c r="M186" t="inlineStr">
        <is>
          <t>B5</t>
        </is>
      </c>
      <c r="N186" t="inlineStr"/>
      <c r="O186" t="inlineStr">
        <is>
          <t>European</t>
        </is>
      </c>
      <c r="P186" t="inlineStr">
        <is>
          <t>Global North</t>
        </is>
      </c>
      <c r="Q186" t="inlineStr"/>
      <c r="R186" t="inlineStr"/>
      <c r="S186" t="inlineStr"/>
      <c r="T186" t="inlineStr">
        <is>
          <t>qualitative</t>
        </is>
      </c>
      <c r="U186" t="inlineStr"/>
      <c r="V186" t="inlineStr">
        <is>
          <t>Y</t>
        </is>
      </c>
      <c r="W186" t="inlineStr">
        <is>
          <t>auto: Abstract With the eIDAS 2.0 legislation, the European Union seeks to establish a digital identity data ecosystem and to empower citizens to manage digital credentials from various sources through an ID wallet interface.</t>
        </is>
      </c>
      <c r="X186" t="inlineStr">
        <is>
          <t>auto: While IS research has explored private-sector governance mechanisms in platform and data ecosystems, a research gap exists in understanding public–private orchestration where governments act as orchestrators.</t>
        </is>
      </c>
      <c r="Y186" t="inlineStr"/>
      <c r="Z186" t="inlineStr">
        <is>
          <t>high</t>
        </is>
      </c>
      <c r="AA186" t="inlineStr">
        <is>
          <t>B5:recent</t>
        </is>
      </c>
      <c r="AB186" t="inlineStr"/>
      <c r="AC186" t="n">
        <v>10.0911</v>
      </c>
    </row>
    <row r="187">
      <c r="A187" t="inlineStr">
        <is>
          <t>LM00186</t>
        </is>
      </c>
      <c r="B187" t="inlineStr">
        <is>
          <t>Population Meets Database: Aligning Personal, Documentary and Digital Identity in Aadhaar-Enabled India</t>
        </is>
      </c>
      <c r="C187" t="n">
        <v>2019</v>
      </c>
      <c r="D187" t="inlineStr">
        <is>
          <t>Ursula Rao</t>
        </is>
      </c>
      <c r="E187" t="inlineStr">
        <is>
          <t>South Asia Journal of South Asian Studies</t>
        </is>
      </c>
      <c r="F187" t="inlineStr">
        <is>
          <t>article</t>
        </is>
      </c>
      <c r="G187" t="inlineStr">
        <is>
          <t>10.1080/00856401.2019.1594065</t>
        </is>
      </c>
      <c r="H187" t="inlineStr">
        <is>
          <t>W2946412855</t>
        </is>
      </c>
      <c r="I187" t="inlineStr">
        <is>
          <t>https://doi.org/10.1080/00856401.2019.1594065</t>
        </is>
      </c>
      <c r="J187" t="inlineStr"/>
      <c r="K187" t="n">
        <v>27</v>
      </c>
      <c r="L187" t="inlineStr">
        <is>
          <t>B</t>
        </is>
      </c>
      <c r="M187" t="inlineStr">
        <is>
          <t>B5</t>
        </is>
      </c>
      <c r="N187" t="inlineStr"/>
      <c r="O187" t="inlineStr">
        <is>
          <t>India</t>
        </is>
      </c>
      <c r="P187" t="inlineStr">
        <is>
          <t>South Asia</t>
        </is>
      </c>
      <c r="Q187" t="inlineStr">
        <is>
          <t>Y</t>
        </is>
      </c>
      <c r="R187" t="inlineStr"/>
      <c r="S187" t="inlineStr"/>
      <c r="T187" t="inlineStr">
        <is>
          <t>conceptual</t>
        </is>
      </c>
      <c r="U187" t="inlineStr"/>
      <c r="V187" t="inlineStr"/>
      <c r="W187" t="inlineStr">
        <is>
          <t>auto: This article traces the processes of making identities in digital India.</t>
        </is>
      </c>
      <c r="X187" t="inlineStr"/>
      <c r="Y187" t="inlineStr"/>
      <c r="Z187" t="inlineStr">
        <is>
          <t>high</t>
        </is>
      </c>
      <c r="AA187" t="inlineStr">
        <is>
          <t>B5:india</t>
        </is>
      </c>
      <c r="AB187" t="inlineStr"/>
      <c r="AC187" t="n">
        <v>17.783</v>
      </c>
    </row>
    <row r="188">
      <c r="A188" t="inlineStr">
        <is>
          <t>LM00187</t>
        </is>
      </c>
      <c r="B188" t="inlineStr">
        <is>
          <t>Biometric Infrastructures and the Indian Public Distribution System</t>
        </is>
      </c>
      <c r="C188" t="n">
        <v>2020</v>
      </c>
      <c r="D188" t="inlineStr">
        <is>
          <t>Silvia Masiero</t>
        </is>
      </c>
      <c r="E188" t="inlineStr">
        <is>
          <t>South Asia Multidisciplinary Academic Journal</t>
        </is>
      </c>
      <c r="F188" t="inlineStr">
        <is>
          <t>article</t>
        </is>
      </c>
      <c r="G188" t="inlineStr">
        <is>
          <t>10.4000/samaj.6459</t>
        </is>
      </c>
      <c r="H188" t="inlineStr">
        <is>
          <t>W3085619039</t>
        </is>
      </c>
      <c r="I188" t="inlineStr">
        <is>
          <t>https://doi.org/10.4000/samaj.6459</t>
        </is>
      </c>
      <c r="J188" t="inlineStr">
        <is>
          <t>http://journals.openedition.org/samaj/pdf/6459</t>
        </is>
      </c>
      <c r="K188" t="n">
        <v>27</v>
      </c>
      <c r="L188" t="inlineStr">
        <is>
          <t>B</t>
        </is>
      </c>
      <c r="M188" t="inlineStr">
        <is>
          <t>B5</t>
        </is>
      </c>
      <c r="N188" t="inlineStr"/>
      <c r="O188" t="inlineStr">
        <is>
          <t>India; Karnataka; Kerala; South Asia</t>
        </is>
      </c>
      <c r="P188" t="inlineStr">
        <is>
          <t>South Asia</t>
        </is>
      </c>
      <c r="Q188" t="inlineStr">
        <is>
          <t>Y</t>
        </is>
      </c>
      <c r="R188" t="inlineStr"/>
      <c r="S188" t="inlineStr"/>
      <c r="T188" t="inlineStr">
        <is>
          <t>conceptual</t>
        </is>
      </c>
      <c r="U188" t="inlineStr"/>
      <c r="V188" t="inlineStr"/>
      <c r="W188" t="inlineStr">
        <is>
          <t>auto: This paper reflects on the author’s nine-year research on the transformation of India’s Public Distribution System (PDS) enacted through digital technologies first and, more recently, through Aadhaar’s biometric infrastructure.</t>
        </is>
      </c>
      <c r="X188" t="inlineStr"/>
      <c r="Y188" t="inlineStr"/>
      <c r="Z188" t="inlineStr">
        <is>
          <t>high</t>
        </is>
      </c>
      <c r="AA188" t="inlineStr">
        <is>
          <t>B5:india</t>
        </is>
      </c>
      <c r="AB188" t="inlineStr"/>
      <c r="AC188" t="n">
        <v>19.1549</v>
      </c>
    </row>
    <row r="189">
      <c r="A189" t="inlineStr">
        <is>
          <t>LM00188</t>
        </is>
      </c>
      <c r="B189" t="inlineStr">
        <is>
          <t>Aadhaar in a Box? Legitimizing Digital Identity in Times of Crisis</t>
        </is>
      </c>
      <c r="C189" t="n">
        <v>2021</v>
      </c>
      <c r="D189" t="inlineStr">
        <is>
          <t>Aaron Martin</t>
        </is>
      </c>
      <c r="E189" t="inlineStr">
        <is>
          <t>Surveillance &amp; Society</t>
        </is>
      </c>
      <c r="F189" t="inlineStr">
        <is>
          <t>article</t>
        </is>
      </c>
      <c r="G189" t="inlineStr">
        <is>
          <t>10.24908/ss.v19i1.14547</t>
        </is>
      </c>
      <c r="H189" t="inlineStr">
        <is>
          <t>W3134944164</t>
        </is>
      </c>
      <c r="I189" t="inlineStr">
        <is>
          <t>https://doi.org/10.24908/ss.v19i1.14547</t>
        </is>
      </c>
      <c r="J189" t="inlineStr">
        <is>
          <t>https://ojs.library.queensu.ca/index.php/surveillance-and-society/article/download/14547/9537</t>
        </is>
      </c>
      <c r="K189" t="n">
        <v>23</v>
      </c>
      <c r="L189" t="inlineStr">
        <is>
          <t>B</t>
        </is>
      </c>
      <c r="M189" t="inlineStr">
        <is>
          <t>B5</t>
        </is>
      </c>
      <c r="N189" t="inlineStr"/>
      <c r="O189" t="inlineStr">
        <is>
          <t>India</t>
        </is>
      </c>
      <c r="P189" t="inlineStr">
        <is>
          <t>South Asia</t>
        </is>
      </c>
      <c r="Q189" t="inlineStr">
        <is>
          <t>Y</t>
        </is>
      </c>
      <c r="R189" t="inlineStr"/>
      <c r="S189" t="inlineStr"/>
      <c r="T189" t="inlineStr">
        <is>
          <t>conceptual</t>
        </is>
      </c>
      <c r="U189" t="inlineStr"/>
      <c r="V189" t="inlineStr"/>
      <c r="W189" t="inlineStr">
        <is>
          <t>auto: Without evaluating the merits of claims about the capacity of digital identity systems to address the various challenges posed by COVID-19, in this paper I instead make a theoretical observation before raising a policy concern.</t>
        </is>
      </c>
      <c r="X189" t="inlineStr"/>
      <c r="Y189" t="inlineStr"/>
      <c r="Z189" t="inlineStr">
        <is>
          <t>medium</t>
        </is>
      </c>
      <c r="AA189" t="inlineStr">
        <is>
          <t>B5:india</t>
        </is>
      </c>
      <c r="AB189" t="inlineStr"/>
      <c r="AC189" t="n">
        <v>5.5549</v>
      </c>
    </row>
    <row r="190">
      <c r="A190" t="inlineStr">
        <is>
          <t>LM00189</t>
        </is>
      </c>
      <c r="B190" t="inlineStr">
        <is>
          <t>Technologies of Disintermediation in a Mediated State: Civil Society Organisations and India’s Aadhaar Project</t>
        </is>
      </c>
      <c r="C190" t="n">
        <v>2019</v>
      </c>
      <c r="D190" t="inlineStr">
        <is>
          <t>Parul Baxi</t>
        </is>
      </c>
      <c r="E190" t="inlineStr">
        <is>
          <t>South Asia Journal of South Asian Studies</t>
        </is>
      </c>
      <c r="F190" t="inlineStr">
        <is>
          <t>article</t>
        </is>
      </c>
      <c r="G190" t="inlineStr">
        <is>
          <t>10.1080/00856401.2019.1602808</t>
        </is>
      </c>
      <c r="H190" t="inlineStr">
        <is>
          <t>W2945288081</t>
        </is>
      </c>
      <c r="I190" t="inlineStr">
        <is>
          <t>https://doi.org/10.1080/00856401.2019.1602808</t>
        </is>
      </c>
      <c r="J190" t="inlineStr"/>
      <c r="K190" t="n">
        <v>20</v>
      </c>
      <c r="L190" t="inlineStr">
        <is>
          <t>B</t>
        </is>
      </c>
      <c r="M190" t="inlineStr">
        <is>
          <t>B5</t>
        </is>
      </c>
      <c r="N190" t="inlineStr"/>
      <c r="O190" t="inlineStr">
        <is>
          <t>Ahmedabad; Delhi; India; Mumbai</t>
        </is>
      </c>
      <c r="P190" t="inlineStr">
        <is>
          <t>South Asia</t>
        </is>
      </c>
      <c r="Q190" t="inlineStr">
        <is>
          <t>Y</t>
        </is>
      </c>
      <c r="R190" t="inlineStr">
        <is>
          <t>Y</t>
        </is>
      </c>
      <c r="S190" t="inlineStr"/>
      <c r="T190" t="inlineStr">
        <is>
          <t>qualitative</t>
        </is>
      </c>
      <c r="U190" t="inlineStr"/>
      <c r="V190" t="inlineStr"/>
      <c r="W190" t="inlineStr">
        <is>
          <t>auto: Drawing upon eighteen months of fieldwork in Mumbai, Ahmedabad and Delhi, this paper traces the nature of state and civil society engagement with Aadhaar.</t>
        </is>
      </c>
      <c r="X190" t="inlineStr"/>
      <c r="Y190" t="inlineStr"/>
      <c r="Z190" t="inlineStr">
        <is>
          <t>high</t>
        </is>
      </c>
      <c r="AA190" t="inlineStr">
        <is>
          <t>B5:india</t>
        </is>
      </c>
      <c r="AB190" t="inlineStr"/>
      <c r="AC190" t="n">
        <v>9.4145</v>
      </c>
    </row>
    <row r="191">
      <c r="A191" t="inlineStr">
        <is>
          <t>LM00190</t>
        </is>
      </c>
      <c r="B191" t="inlineStr">
        <is>
          <t>Grappling with Aadhaar: Biometrics, Social Identity and the Indian State</t>
        </is>
      </c>
      <c r="C191" t="n">
        <v>2020</v>
      </c>
      <c r="D191" t="inlineStr">
        <is>
          <t>Silvia Masiero; S. Shakthi</t>
        </is>
      </c>
      <c r="E191" t="inlineStr">
        <is>
          <t>South Asia Multidisciplinary Academic Journal</t>
        </is>
      </c>
      <c r="F191" t="inlineStr">
        <is>
          <t>article</t>
        </is>
      </c>
      <c r="G191" t="inlineStr">
        <is>
          <t>10.4000/samaj.6279</t>
        </is>
      </c>
      <c r="H191" t="inlineStr">
        <is>
          <t>W3084791339</t>
        </is>
      </c>
      <c r="I191" t="inlineStr">
        <is>
          <t>https://doi.org/10.4000/samaj.6279</t>
        </is>
      </c>
      <c r="J191" t="inlineStr">
        <is>
          <t>http://journals.openedition.org/samaj/pdf/6279</t>
        </is>
      </c>
      <c r="K191" t="n">
        <v>20</v>
      </c>
      <c r="L191" t="inlineStr">
        <is>
          <t>B</t>
        </is>
      </c>
      <c r="M191" t="inlineStr">
        <is>
          <t>B5</t>
        </is>
      </c>
      <c r="N191" t="inlineStr"/>
      <c r="O191" t="inlineStr">
        <is>
          <t>India</t>
        </is>
      </c>
      <c r="P191" t="inlineStr">
        <is>
          <t>South Asia</t>
        </is>
      </c>
      <c r="Q191" t="inlineStr">
        <is>
          <t>Y</t>
        </is>
      </c>
      <c r="R191" t="inlineStr"/>
      <c r="S191" t="inlineStr"/>
      <c r="T191" t="inlineStr">
        <is>
          <t>unclear</t>
        </is>
      </c>
      <c r="U191" t="inlineStr"/>
      <c r="V191" t="inlineStr"/>
      <c r="W191" t="inlineStr">
        <is>
          <t>auto: The Aadhaar program has been among the most defining socio-political projects of the Indian state over the last decade.</t>
        </is>
      </c>
      <c r="X191" t="inlineStr"/>
      <c r="Y191" t="inlineStr"/>
      <c r="Z191" t="inlineStr">
        <is>
          <t>high</t>
        </is>
      </c>
      <c r="AA191" t="inlineStr">
        <is>
          <t>B5:india</t>
        </is>
      </c>
      <c r="AB191" t="inlineStr"/>
      <c r="AC191" t="n">
        <v>1.2793</v>
      </c>
    </row>
    <row r="192">
      <c r="A192" t="inlineStr">
        <is>
          <t>LM00191</t>
        </is>
      </c>
      <c r="B192" t="inlineStr">
        <is>
          <t>‘Without an Aadhaar card nothing could be done’: a mixed methods study of biometric identification and birth registration for children in Varanasi, India</t>
        </is>
      </c>
      <c r="C192" t="n">
        <v>2020</v>
      </c>
      <c r="D192" t="inlineStr">
        <is>
          <t>Amiya Bhatia; Elizabeth Donger; Jacqueline Bhabha</t>
        </is>
      </c>
      <c r="E192" t="inlineStr">
        <is>
          <t>Information Technology for Development</t>
        </is>
      </c>
      <c r="F192" t="inlineStr">
        <is>
          <t>article</t>
        </is>
      </c>
      <c r="G192" t="inlineStr">
        <is>
          <t>10.1080/02681102.2020.1840325</t>
        </is>
      </c>
      <c r="H192" t="inlineStr">
        <is>
          <t>W3109664060</t>
        </is>
      </c>
      <c r="I192" t="inlineStr">
        <is>
          <t>https://doi.org/10.1080/02681102.2020.1840325</t>
        </is>
      </c>
      <c r="J192" t="inlineStr"/>
      <c r="K192" t="n">
        <v>19</v>
      </c>
      <c r="L192" t="inlineStr">
        <is>
          <t>B</t>
        </is>
      </c>
      <c r="M192" t="inlineStr">
        <is>
          <t>B5</t>
        </is>
      </c>
      <c r="N192" t="inlineStr"/>
      <c r="O192" t="inlineStr">
        <is>
          <t>India; Varanasi</t>
        </is>
      </c>
      <c r="P192" t="inlineStr">
        <is>
          <t>South Asia</t>
        </is>
      </c>
      <c r="Q192" t="inlineStr">
        <is>
          <t>Y</t>
        </is>
      </c>
      <c r="R192" t="inlineStr"/>
      <c r="S192" t="inlineStr"/>
      <c r="T192" t="inlineStr">
        <is>
          <t>mixed</t>
        </is>
      </c>
      <c r="U192" t="inlineStr"/>
      <c r="V192" t="inlineStr"/>
      <c r="W192" t="inlineStr">
        <is>
          <t>auto: Research on the global growth of digital identification programs has been largely silent on the implications for children and on birth registration.</t>
        </is>
      </c>
      <c r="X192" t="inlineStr"/>
      <c r="Y192" t="inlineStr"/>
      <c r="Z192" t="inlineStr">
        <is>
          <t>high</t>
        </is>
      </c>
      <c r="AA192" t="inlineStr">
        <is>
          <t>B5:india</t>
        </is>
      </c>
      <c r="AB192" t="inlineStr"/>
      <c r="AC192" t="n">
        <v>7.8361</v>
      </c>
    </row>
    <row r="193">
      <c r="A193" t="inlineStr">
        <is>
          <t>LM00192</t>
        </is>
      </c>
      <c r="B193" t="inlineStr">
        <is>
          <t>Explaining trust in large biometric infrastructures: A critical realist case study of India's Aadhaar project</t>
        </is>
      </c>
      <c r="C193" t="n">
        <v>2018</v>
      </c>
      <c r="D193" t="inlineStr">
        <is>
          <t>Silvia Masiero</t>
        </is>
      </c>
      <c r="E193" t="inlineStr">
        <is>
          <t>The Electronic Journal of Information Systems in Developing Countries</t>
        </is>
      </c>
      <c r="F193" t="inlineStr">
        <is>
          <t>article</t>
        </is>
      </c>
      <c r="G193" t="inlineStr">
        <is>
          <t>10.1002/isd2.12053</t>
        </is>
      </c>
      <c r="H193" t="inlineStr">
        <is>
          <t>W2894173933</t>
        </is>
      </c>
      <c r="I193" t="inlineStr">
        <is>
          <t>https://doi.org/10.1002/isd2.12053</t>
        </is>
      </c>
      <c r="J193" t="inlineStr">
        <is>
          <t>https://onlinelibrary.wiley.com/doi/pdfdirect/10.1002/isd2.12053</t>
        </is>
      </c>
      <c r="K193" t="n">
        <v>18</v>
      </c>
      <c r="L193" t="inlineStr">
        <is>
          <t>B</t>
        </is>
      </c>
      <c r="M193" t="inlineStr">
        <is>
          <t>B5</t>
        </is>
      </c>
      <c r="N193" t="inlineStr"/>
      <c r="O193" t="inlineStr">
        <is>
          <t>India</t>
        </is>
      </c>
      <c r="P193" t="inlineStr">
        <is>
          <t>South Asia</t>
        </is>
      </c>
      <c r="Q193" t="inlineStr">
        <is>
          <t>Y</t>
        </is>
      </c>
      <c r="R193" t="inlineStr"/>
      <c r="S193" t="inlineStr"/>
      <c r="T193" t="inlineStr">
        <is>
          <t>qualitative</t>
        </is>
      </c>
      <c r="U193" t="inlineStr"/>
      <c r="V193" t="inlineStr"/>
      <c r="W193" t="inlineStr">
        <is>
          <t>auto: A core argument of this paper is that a critical realist ontology offers intellectual tools that can ground the formulation of causal theory in ICT4D.</t>
        </is>
      </c>
      <c r="X193" t="inlineStr"/>
      <c r="Y193" t="inlineStr"/>
      <c r="Z193" t="inlineStr">
        <is>
          <t>high</t>
        </is>
      </c>
      <c r="AA193" t="inlineStr">
        <is>
          <t>B5:india</t>
        </is>
      </c>
      <c r="AB193" t="inlineStr"/>
      <c r="AC193" t="n">
        <v>9.8515</v>
      </c>
    </row>
    <row r="194">
      <c r="A194" t="inlineStr">
        <is>
          <t>LM00193</t>
        </is>
      </c>
      <c r="B194" t="inlineStr">
        <is>
          <t>Digital Identity and Exclusion in Welfare</t>
        </is>
      </c>
      <c r="C194" t="n">
        <v>2020</v>
      </c>
      <c r="D194" t="inlineStr">
        <is>
          <t>Hartej Singh Hundal; Bidisha Chaudhuri</t>
        </is>
      </c>
      <c r="E194" t="inlineStr">
        <is>
          <t>International Conference on Information and Communication Technologies and Development (ICTD)</t>
        </is>
      </c>
      <c r="F194" t="inlineStr">
        <is>
          <t>conference-paper</t>
        </is>
      </c>
      <c r="G194" t="inlineStr">
        <is>
          <t>10.1145/3392561.3397583</t>
        </is>
      </c>
      <c r="H194" t="inlineStr">
        <is>
          <t>W3036785804</t>
        </is>
      </c>
      <c r="I194" t="inlineStr">
        <is>
          <t>https://doi.org/10.1145/3392561.3397583</t>
        </is>
      </c>
      <c r="J194" t="inlineStr"/>
      <c r="K194" t="n">
        <v>11</v>
      </c>
      <c r="L194" t="inlineStr">
        <is>
          <t>B</t>
        </is>
      </c>
      <c r="M194" t="inlineStr">
        <is>
          <t>B5</t>
        </is>
      </c>
      <c r="N194" t="inlineStr"/>
      <c r="O194" t="inlineStr">
        <is>
          <t>Andhra Pradesh; India; Karnataka</t>
        </is>
      </c>
      <c r="P194" t="inlineStr">
        <is>
          <t>South Asia</t>
        </is>
      </c>
      <c r="Q194" t="inlineStr">
        <is>
          <t>Y</t>
        </is>
      </c>
      <c r="R194" t="inlineStr"/>
      <c r="S194" t="inlineStr"/>
      <c r="T194" t="inlineStr">
        <is>
          <t>qualitative</t>
        </is>
      </c>
      <c r="U194" t="inlineStr"/>
      <c r="V194" t="inlineStr"/>
      <c r="W194" t="inlineStr">
        <is>
          <t>auto: In this note, we explore the relationship between digital biometric ID systems and social exclusion by understanding the user of experiences of the Public Distribution System(PDS) in India.</t>
        </is>
      </c>
      <c r="X194" t="inlineStr"/>
      <c r="Y194" t="inlineStr"/>
      <c r="Z194" t="inlineStr">
        <is>
          <t>high</t>
        </is>
      </c>
      <c r="AA194" t="inlineStr">
        <is>
          <t>B5:india</t>
        </is>
      </c>
      <c r="AB194" t="inlineStr"/>
      <c r="AC194" t="n">
        <v>6.0012</v>
      </c>
    </row>
    <row r="195">
      <c r="A195" t="inlineStr">
        <is>
          <t>LM00194</t>
        </is>
      </c>
      <c r="B195" t="inlineStr">
        <is>
          <t>Digital Public Services: The Development of Biometric Authentication in India</t>
        </is>
      </c>
      <c r="C195" t="n">
        <v>2022</v>
      </c>
      <c r="D195" t="inlineStr">
        <is>
          <t>Ashwin Nair; Burak Eskici</t>
        </is>
      </c>
      <c r="E195" t="inlineStr">
        <is>
          <t>Springer eBooks</t>
        </is>
      </c>
      <c r="F195" t="inlineStr">
        <is>
          <t>book-chapter</t>
        </is>
      </c>
      <c r="G195" t="inlineStr">
        <is>
          <t>10.1007/978-3-030-86065-3_20</t>
        </is>
      </c>
      <c r="H195" t="inlineStr">
        <is>
          <t>W4295007358</t>
        </is>
      </c>
      <c r="I195" t="inlineStr">
        <is>
          <t>https://doi.org/10.1007/978-3-030-86065-3_20</t>
        </is>
      </c>
      <c r="J195" t="inlineStr">
        <is>
          <t>https://link.springer.com/content/pdf/10.1007/978-3-030-86065-3_20.pdf</t>
        </is>
      </c>
      <c r="K195" t="n">
        <v>6</v>
      </c>
      <c r="L195" t="inlineStr">
        <is>
          <t>B</t>
        </is>
      </c>
      <c r="M195" t="inlineStr">
        <is>
          <t>B5</t>
        </is>
      </c>
      <c r="N195" t="inlineStr"/>
      <c r="O195" t="inlineStr">
        <is>
          <t>Andhra Pradesh; India; Jharkhand</t>
        </is>
      </c>
      <c r="P195" t="inlineStr">
        <is>
          <t>South Asia</t>
        </is>
      </c>
      <c r="Q195" t="inlineStr">
        <is>
          <t>Y</t>
        </is>
      </c>
      <c r="R195" t="inlineStr"/>
      <c r="S195" t="inlineStr"/>
      <c r="T195" t="inlineStr">
        <is>
          <t>quantitative</t>
        </is>
      </c>
      <c r="U195" t="inlineStr"/>
      <c r="V195" t="inlineStr">
        <is>
          <t>Y</t>
        </is>
      </c>
      <c r="W195" t="inlineStr">
        <is>
          <t>auto: In this chapter, we highlight the role that biometric authentication can play in delivering payments and subsidized food to the poor.</t>
        </is>
      </c>
      <c r="X195" t="inlineStr"/>
      <c r="Y195" t="inlineStr"/>
      <c r="Z195" t="inlineStr">
        <is>
          <t>high</t>
        </is>
      </c>
      <c r="AA195" t="inlineStr">
        <is>
          <t>B5:india; B5:recent</t>
        </is>
      </c>
      <c r="AB195" t="inlineStr"/>
      <c r="AC195" t="n">
        <v>2.6653</v>
      </c>
    </row>
    <row r="196">
      <c r="A196" t="inlineStr">
        <is>
          <t>LM00195</t>
        </is>
      </c>
      <c r="B196" t="inlineStr">
        <is>
          <t>Decoding the Indian data governance model: Relooking at Aadhaar</t>
        </is>
      </c>
      <c r="C196" t="n">
        <v>2025</v>
      </c>
      <c r="D196" t="inlineStr">
        <is>
          <t>Anjana Sasi</t>
        </is>
      </c>
      <c r="E196" t="inlineStr">
        <is>
          <t>Social Sciences &amp; Humanities Open</t>
        </is>
      </c>
      <c r="F196" t="inlineStr">
        <is>
          <t>article</t>
        </is>
      </c>
      <c r="G196" t="inlineStr">
        <is>
          <t>10.1016/j.ssaho.2025.101408</t>
        </is>
      </c>
      <c r="H196" t="inlineStr">
        <is>
          <t>W4408462960</t>
        </is>
      </c>
      <c r="I196" t="inlineStr">
        <is>
          <t>https://doi.org/10.1016/j.ssaho.2025.101408</t>
        </is>
      </c>
      <c r="J196" t="inlineStr">
        <is>
          <t>https://doi.org/10.1016/j.ssaho.2025.101408</t>
        </is>
      </c>
      <c r="K196" t="n">
        <v>6</v>
      </c>
      <c r="L196" t="inlineStr">
        <is>
          <t>B</t>
        </is>
      </c>
      <c r="M196" t="inlineStr">
        <is>
          <t>B5</t>
        </is>
      </c>
      <c r="N196" t="inlineStr"/>
      <c r="O196" t="inlineStr">
        <is>
          <t>Brazil; Estonia; India</t>
        </is>
      </c>
      <c r="P196" t="inlineStr">
        <is>
          <t>Multi-region</t>
        </is>
      </c>
      <c r="Q196" t="inlineStr">
        <is>
          <t>Y</t>
        </is>
      </c>
      <c r="R196" t="inlineStr"/>
      <c r="S196" t="inlineStr"/>
      <c r="T196" t="inlineStr">
        <is>
          <t>conceptual</t>
        </is>
      </c>
      <c r="U196" t="inlineStr"/>
      <c r="V196" t="inlineStr">
        <is>
          <t>Y</t>
        </is>
      </c>
      <c r="W196" t="inlineStr">
        <is>
          <t>auto: This article identifies that the Aadhaar India's Biometric Identity system may have been vital in evolving India's Digital Public Infrastructure and dictating India's evolving model of data governance.</t>
        </is>
      </c>
      <c r="X196" t="inlineStr">
        <is>
          <t>auto: The study addresses critical research gaps in the current academic literature, such as the lack of a detailed examination of the Aadhaar project, India's biometric identity project as steering the course of India's data governance model and its implications for India's data strategy in terms of sovereignty.</t>
        </is>
      </c>
      <c r="Y196" t="inlineStr"/>
      <c r="Z196" t="inlineStr">
        <is>
          <t>medium</t>
        </is>
      </c>
      <c r="AA196" t="inlineStr">
        <is>
          <t>B5:india; B5:recent</t>
        </is>
      </c>
      <c r="AB196" t="inlineStr">
        <is>
          <t>W4404738986</t>
        </is>
      </c>
      <c r="AC196" t="n">
        <v>41.5834</v>
      </c>
    </row>
    <row r="197">
      <c r="A197" t="inlineStr">
        <is>
          <t>LM00196</t>
        </is>
      </c>
      <c r="B197" t="inlineStr">
        <is>
          <t>Digital Identity in India</t>
        </is>
      </c>
      <c r="C197" t="n">
        <v>2021</v>
      </c>
      <c r="D197" t="inlineStr">
        <is>
          <t>Bhagwan Chowdhry; Amit Goyal; Syed Anas Ahmed</t>
        </is>
      </c>
      <c r="E197" t="inlineStr">
        <is>
          <t>Springer eBooks</t>
        </is>
      </c>
      <c r="F197" t="inlineStr">
        <is>
          <t>book-chapter</t>
        </is>
      </c>
      <c r="G197" t="inlineStr">
        <is>
          <t>10.1007/978-3-030-65117-6_30</t>
        </is>
      </c>
      <c r="H197" t="inlineStr">
        <is>
          <t>W3201984000</t>
        </is>
      </c>
      <c r="I197" t="inlineStr">
        <is>
          <t>https://doi.org/10.1007/978-3-030-65117-6_30</t>
        </is>
      </c>
      <c r="J197" t="inlineStr"/>
      <c r="K197" t="n">
        <v>5</v>
      </c>
      <c r="L197" t="inlineStr">
        <is>
          <t>B</t>
        </is>
      </c>
      <c r="M197" t="inlineStr">
        <is>
          <t>B5</t>
        </is>
      </c>
      <c r="N197" t="inlineStr"/>
      <c r="O197" t="inlineStr">
        <is>
          <t>India</t>
        </is>
      </c>
      <c r="P197" t="inlineStr">
        <is>
          <t>South Asia</t>
        </is>
      </c>
      <c r="Q197" t="inlineStr">
        <is>
          <t>Y</t>
        </is>
      </c>
      <c r="R197" t="inlineStr"/>
      <c r="S197" t="inlineStr"/>
      <c r="T197" t="inlineStr">
        <is>
          <t>unclear</t>
        </is>
      </c>
      <c r="U197" t="inlineStr"/>
      <c r="V197" t="inlineStr"/>
      <c r="W197" t="inlineStr"/>
      <c r="X197" t="inlineStr"/>
      <c r="Y197" t="inlineStr"/>
      <c r="Z197" t="inlineStr">
        <is>
          <t>low</t>
        </is>
      </c>
      <c r="AA197" t="inlineStr">
        <is>
          <t>B5:india</t>
        </is>
      </c>
      <c r="AB197" t="inlineStr"/>
      <c r="AC197" t="n">
        <v>7.2718</v>
      </c>
    </row>
    <row r="198">
      <c r="A198" t="inlineStr">
        <is>
          <t>LM00197</t>
        </is>
      </c>
      <c r="B198" t="inlineStr">
        <is>
          <t>Digital public infrastructure as a driver of financial inclusion in India</t>
        </is>
      </c>
      <c r="C198" t="n">
        <v>2025</v>
      </c>
      <c r="D198" t="inlineStr">
        <is>
          <t>Komal Chopra; Neeru Sidana; Rochna Arora</t>
        </is>
      </c>
      <c r="E198" t="inlineStr">
        <is>
          <t>Discover Sustainability</t>
        </is>
      </c>
      <c r="F198" t="inlineStr">
        <is>
          <t>article</t>
        </is>
      </c>
      <c r="G198" t="inlineStr">
        <is>
          <t>10.1007/s43621-025-02507-9</t>
        </is>
      </c>
      <c r="H198" t="inlineStr">
        <is>
          <t>W7117454912</t>
        </is>
      </c>
      <c r="I198" t="inlineStr">
        <is>
          <t>https://doi.org/10.1007/s43621-025-02507-9</t>
        </is>
      </c>
      <c r="J198" t="inlineStr">
        <is>
          <t>https://doi.org/10.1007/s43621-025-02507-9</t>
        </is>
      </c>
      <c r="K198" t="n">
        <v>5</v>
      </c>
      <c r="L198" t="inlineStr">
        <is>
          <t>B</t>
        </is>
      </c>
      <c r="M198" t="inlineStr">
        <is>
          <t>B5</t>
        </is>
      </c>
      <c r="N198" t="inlineStr"/>
      <c r="O198" t="inlineStr">
        <is>
          <t>India</t>
        </is>
      </c>
      <c r="P198" t="inlineStr">
        <is>
          <t>South Asia</t>
        </is>
      </c>
      <c r="Q198" t="inlineStr">
        <is>
          <t>Y</t>
        </is>
      </c>
      <c r="R198" t="inlineStr"/>
      <c r="S198" t="inlineStr"/>
      <c r="T198" t="inlineStr">
        <is>
          <t>conceptual</t>
        </is>
      </c>
      <c r="U198" t="inlineStr"/>
      <c r="V198" t="inlineStr">
        <is>
          <t>Y</t>
        </is>
      </c>
      <c r="W198" t="inlineStr">
        <is>
          <t>auto: In this paper, the authors probe the capacities of two pillars of DPI, namely digital identity and digital payments, in promoting this inclusion and in a sustainable and scalable fashion.</t>
        </is>
      </c>
      <c r="X198" t="inlineStr"/>
      <c r="Y198" t="inlineStr"/>
      <c r="Z198" t="inlineStr">
        <is>
          <t>high</t>
        </is>
      </c>
      <c r="AA198" t="inlineStr">
        <is>
          <t>B5:india; B5:recent</t>
        </is>
      </c>
      <c r="AB198" t="inlineStr"/>
      <c r="AC198" t="n">
        <v>5.2352</v>
      </c>
    </row>
    <row r="199">
      <c r="A199" t="inlineStr">
        <is>
          <t>LM00198</t>
        </is>
      </c>
      <c r="B199" t="inlineStr">
        <is>
          <t>Indirect Discrimination: Huduma Namba (Digital Identification) and the Plight of the Nubian Community in Kenya</t>
        </is>
      </c>
      <c r="C199" t="n">
        <v>2022</v>
      </c>
      <c r="D199" t="inlineStr">
        <is>
          <t>Natalie Kiilu</t>
        </is>
      </c>
      <c r="E199" t="inlineStr">
        <is>
          <t>Strathmore Law Review</t>
        </is>
      </c>
      <c r="F199" t="inlineStr">
        <is>
          <t>article</t>
        </is>
      </c>
      <c r="G199" t="inlineStr">
        <is>
          <t>10.52907/slr.v7i1.188</t>
        </is>
      </c>
      <c r="H199" t="inlineStr">
        <is>
          <t>W4307629470</t>
        </is>
      </c>
      <c r="I199" t="inlineStr">
        <is>
          <t>https://doi.org/10.52907/slr.v7i1.188</t>
        </is>
      </c>
      <c r="J199" t="inlineStr">
        <is>
          <t>https://journal.strathmore.edu/index.php/lawreview/article/download/188/179</t>
        </is>
      </c>
      <c r="K199" t="n">
        <v>2</v>
      </c>
      <c r="L199" t="inlineStr">
        <is>
          <t>B</t>
        </is>
      </c>
      <c r="M199" t="inlineStr">
        <is>
          <t>B5</t>
        </is>
      </c>
      <c r="N199" t="inlineStr"/>
      <c r="O199" t="inlineStr">
        <is>
          <t>Kenya</t>
        </is>
      </c>
      <c r="P199" t="inlineStr">
        <is>
          <t>Africa</t>
        </is>
      </c>
      <c r="Q199" t="inlineStr"/>
      <c r="R199" t="inlineStr"/>
      <c r="S199" t="inlineStr"/>
      <c r="T199" t="inlineStr">
        <is>
          <t>conceptual</t>
        </is>
      </c>
      <c r="U199" t="inlineStr"/>
      <c r="V199" t="inlineStr">
        <is>
          <t>Y</t>
        </is>
      </c>
      <c r="W199" t="inlineStr">
        <is>
          <t>auto: Consequently, this paper argues that the mandatory operationalisation of the Huduma Namba system in Kenya will constitute indirect discrimination against the Nubian community.</t>
        </is>
      </c>
      <c r="X199" t="inlineStr"/>
      <c r="Y199" t="inlineStr"/>
      <c r="Z199" t="inlineStr">
        <is>
          <t>medium</t>
        </is>
      </c>
      <c r="AA199" t="inlineStr">
        <is>
          <t>B5:recent</t>
        </is>
      </c>
      <c r="AB199" t="inlineStr">
        <is>
          <t>W4414749976</t>
        </is>
      </c>
      <c r="AC199" t="n">
        <v>1.5485</v>
      </c>
    </row>
    <row r="200">
      <c r="A200" t="inlineStr">
        <is>
          <t>LM00199</t>
        </is>
      </c>
      <c r="B200" t="inlineStr">
        <is>
          <t>The digital delivery of welfare services in India: Achievements, anomalies and lessons learnt</t>
        </is>
      </c>
      <c r="C200" t="n">
        <v>2023</v>
      </c>
      <c r="D200" t="inlineStr">
        <is>
          <t>Aishwarya Sivaramakrishnan; Sony Pellissery</t>
        </is>
      </c>
      <c r="E200" t="inlineStr">
        <is>
          <t>Edward Elgar Publishing eBooks</t>
        </is>
      </c>
      <c r="F200" t="inlineStr">
        <is>
          <t>book-chapter</t>
        </is>
      </c>
      <c r="G200" t="inlineStr">
        <is>
          <t>10.4337/9781800378421.00044</t>
        </is>
      </c>
      <c r="H200" t="inlineStr">
        <is>
          <t>W4386951108</t>
        </is>
      </c>
      <c r="I200" t="inlineStr">
        <is>
          <t>https://doi.org/10.4337/9781800378421.00044</t>
        </is>
      </c>
      <c r="J200" t="inlineStr"/>
      <c r="K200" t="n">
        <v>2</v>
      </c>
      <c r="L200" t="inlineStr">
        <is>
          <t>B</t>
        </is>
      </c>
      <c r="M200" t="inlineStr">
        <is>
          <t>B5</t>
        </is>
      </c>
      <c r="N200" t="inlineStr"/>
      <c r="O200" t="inlineStr">
        <is>
          <t>India</t>
        </is>
      </c>
      <c r="P200" t="inlineStr">
        <is>
          <t>South Asia</t>
        </is>
      </c>
      <c r="Q200" t="inlineStr">
        <is>
          <t>Y</t>
        </is>
      </c>
      <c r="R200" t="inlineStr"/>
      <c r="S200" t="inlineStr"/>
      <c r="T200" t="inlineStr">
        <is>
          <t>conceptual</t>
        </is>
      </c>
      <c r="U200" t="inlineStr"/>
      <c r="V200" t="inlineStr">
        <is>
          <t>Y</t>
        </is>
      </c>
      <c r="W200" t="inlineStr">
        <is>
          <t>auto: This chapter appraises the achievements, identifies fresh challenges and provides pointers for future action.</t>
        </is>
      </c>
      <c r="X200" t="inlineStr"/>
      <c r="Y200" t="inlineStr"/>
      <c r="Z200" t="inlineStr">
        <is>
          <t>medium</t>
        </is>
      </c>
      <c r="AA200" t="inlineStr">
        <is>
          <t>B5:india; B5:recent</t>
        </is>
      </c>
      <c r="AB200" t="inlineStr"/>
      <c r="AC200" t="n">
        <v>2.5287</v>
      </c>
    </row>
    <row r="201">
      <c r="A201" t="inlineStr">
        <is>
          <t>LM00200</t>
        </is>
      </c>
      <c r="B201" t="inlineStr">
        <is>
          <t>Citizenship in India: Parsing the Complexity of Digital Identity Systems</t>
        </is>
      </c>
      <c r="C201" t="n">
        <v>2024</v>
      </c>
      <c r="D201" t="inlineStr">
        <is>
          <t>Vidya K. Subramanian</t>
        </is>
      </c>
      <c r="E201" t="inlineStr">
        <is>
          <t>Science Technology and Society</t>
        </is>
      </c>
      <c r="F201" t="inlineStr">
        <is>
          <t>article</t>
        </is>
      </c>
      <c r="G201" t="inlineStr">
        <is>
          <t>10.1177/09717218241281940</t>
        </is>
      </c>
      <c r="H201" t="inlineStr">
        <is>
          <t>W4403510403</t>
        </is>
      </c>
      <c r="I201" t="inlineStr">
        <is>
          <t>https://doi.org/10.1177/09717218241281940</t>
        </is>
      </c>
      <c r="J201" t="inlineStr"/>
      <c r="K201" t="n">
        <v>2</v>
      </c>
      <c r="L201" t="inlineStr">
        <is>
          <t>B</t>
        </is>
      </c>
      <c r="M201" t="inlineStr">
        <is>
          <t>B5</t>
        </is>
      </c>
      <c r="N201" t="inlineStr"/>
      <c r="O201" t="inlineStr">
        <is>
          <t>India</t>
        </is>
      </c>
      <c r="P201" t="inlineStr">
        <is>
          <t>South Asia</t>
        </is>
      </c>
      <c r="Q201" t="inlineStr">
        <is>
          <t>Y</t>
        </is>
      </c>
      <c r="R201" t="inlineStr"/>
      <c r="S201" t="inlineStr"/>
      <c r="T201" t="inlineStr">
        <is>
          <t>unclear</t>
        </is>
      </c>
      <c r="U201" t="inlineStr"/>
      <c r="V201" t="inlineStr">
        <is>
          <t>Y</t>
        </is>
      </c>
      <c r="W201" t="inlineStr">
        <is>
          <t>auto: The biometric identity project in India called Aadhaar was established with the purported intent of giving every resident of India a unique ID to ensure that social security measures and other welfare mechanisms would reach the last mile.</t>
        </is>
      </c>
      <c r="X201" t="inlineStr"/>
      <c r="Y201" t="inlineStr"/>
      <c r="Z201" t="inlineStr">
        <is>
          <t>high</t>
        </is>
      </c>
      <c r="AA201" t="inlineStr">
        <is>
          <t>B5:india; B5:recent</t>
        </is>
      </c>
      <c r="AB201" t="inlineStr"/>
      <c r="AC201" t="n">
        <v>3.4438</v>
      </c>
    </row>
    <row r="202">
      <c r="A202" t="inlineStr">
        <is>
          <t>LM00201</t>
        </is>
      </c>
      <c r="B202" t="inlineStr">
        <is>
          <t>Scalable Digital Solutions from India’s Aadhaar and UPI Frameworks</t>
        </is>
      </c>
      <c r="C202" t="n">
        <v>2025</v>
      </c>
      <c r="D202" t="inlineStr">
        <is>
          <t>Murali Krishna Pasupuleti</t>
        </is>
      </c>
      <c r="E202" t="inlineStr">
        <is>
          <t>International Journal of Academic and Industrial Research Innovations(IJAIRI)</t>
        </is>
      </c>
      <c r="F202" t="inlineStr">
        <is>
          <t>article</t>
        </is>
      </c>
      <c r="G202" t="inlineStr">
        <is>
          <t>10.62311/nesx/rp2325</t>
        </is>
      </c>
      <c r="H202" t="inlineStr">
        <is>
          <t>W4409623556</t>
        </is>
      </c>
      <c r="I202" t="inlineStr">
        <is>
          <t>https://doi.org/10.62311/nesx/rp2325</t>
        </is>
      </c>
      <c r="J202" t="inlineStr">
        <is>
          <t>https://www.nationaleducationservices.org/file-download/1384163/Download Full-Text Research Paper  PDF Pp 278-287_Signed.pdf</t>
        </is>
      </c>
      <c r="K202" t="n">
        <v>2</v>
      </c>
      <c r="L202" t="inlineStr">
        <is>
          <t>B</t>
        </is>
      </c>
      <c r="M202" t="inlineStr">
        <is>
          <t>B5</t>
        </is>
      </c>
      <c r="N202" t="inlineStr"/>
      <c r="O202" t="inlineStr">
        <is>
          <t>India</t>
        </is>
      </c>
      <c r="P202" t="inlineStr">
        <is>
          <t>South Asia</t>
        </is>
      </c>
      <c r="Q202" t="inlineStr">
        <is>
          <t>Y</t>
        </is>
      </c>
      <c r="R202" t="inlineStr"/>
      <c r="S202" t="inlineStr"/>
      <c r="T202" t="inlineStr">
        <is>
          <t>qualitative</t>
        </is>
      </c>
      <c r="U202" t="inlineStr"/>
      <c r="V202" t="inlineStr">
        <is>
          <t>Y</t>
        </is>
      </c>
      <c r="W202" t="inlineStr">
        <is>
          <t>auto: This research paper examines the architectural design, operational dynamics, and socio-economic impact of these systems, emphasizing their role in promoting financial inclusion, digital governance, and economic resilience.</t>
        </is>
      </c>
      <c r="X202" t="inlineStr"/>
      <c r="Y202" t="inlineStr"/>
      <c r="Z202" t="inlineStr">
        <is>
          <t>high</t>
        </is>
      </c>
      <c r="AA202" t="inlineStr">
        <is>
          <t>B5:recent</t>
        </is>
      </c>
      <c r="AB202" t="inlineStr"/>
      <c r="AC202" t="n">
        <v>8.4268</v>
      </c>
    </row>
    <row r="203">
      <c r="A203" t="inlineStr">
        <is>
          <t>LM00202</t>
        </is>
      </c>
      <c r="B203" t="inlineStr">
        <is>
          <t>Biometric IDs and the remaking of the Indian (welfare) state</t>
        </is>
      </c>
      <c r="C203" t="n">
        <v>2019</v>
      </c>
      <c r="D203" t="inlineStr">
        <is>
          <t>Ursula Rao</t>
        </is>
      </c>
      <c r="E203" t="inlineStr">
        <is>
          <t>RePEc: Research Papers in Economics</t>
        </is>
      </c>
      <c r="F203" t="inlineStr">
        <is>
          <t>article</t>
        </is>
      </c>
      <c r="G203" t="inlineStr"/>
      <c r="H203" t="inlineStr">
        <is>
          <t>W3089366762</t>
        </is>
      </c>
      <c r="I203" t="inlineStr">
        <is>
          <t>https://www.econstor.eu/bitstream/10419/223108/1/Econsoc-NL-21-1-03.pdf</t>
        </is>
      </c>
      <c r="J203" t="inlineStr">
        <is>
          <t>http://hdl.handle.net/10419/223108</t>
        </is>
      </c>
      <c r="K203" t="n">
        <v>2</v>
      </c>
      <c r="L203" t="inlineStr">
        <is>
          <t>B</t>
        </is>
      </c>
      <c r="M203" t="inlineStr">
        <is>
          <t>B5</t>
        </is>
      </c>
      <c r="N203" t="inlineStr"/>
      <c r="O203" t="inlineStr">
        <is>
          <t>India</t>
        </is>
      </c>
      <c r="P203" t="inlineStr">
        <is>
          <t>South Asia</t>
        </is>
      </c>
      <c r="Q203" t="inlineStr">
        <is>
          <t>Y</t>
        </is>
      </c>
      <c r="R203" t="inlineStr"/>
      <c r="S203" t="inlineStr"/>
      <c r="T203" t="inlineStr">
        <is>
          <t>unclear</t>
        </is>
      </c>
      <c r="U203" t="inlineStr"/>
      <c r="V203" t="inlineStr"/>
      <c r="W203" t="inlineStr">
        <is>
          <t>auto: Across the globe, India's new digital identification system is celebrated as a brave attempt to revolutionise identification procedures.</t>
        </is>
      </c>
      <c r="X203" t="inlineStr"/>
      <c r="Y203" t="inlineStr"/>
      <c r="Z203" t="inlineStr">
        <is>
          <t>medium</t>
        </is>
      </c>
      <c r="AA203" t="inlineStr">
        <is>
          <t>B5:india</t>
        </is>
      </c>
      <c r="AB203" t="inlineStr"/>
      <c r="AC203" t="n">
        <v>2.0921</v>
      </c>
    </row>
    <row r="204">
      <c r="A204" t="inlineStr">
        <is>
          <t>LM00203</t>
        </is>
      </c>
      <c r="B204" t="inlineStr">
        <is>
          <t>Marginalized Aadhaar: How the World’s Largest Digital Identification Programme Led to the Exclusion of Marginalized Communities</t>
        </is>
      </c>
      <c r="C204" t="n">
        <v>2022</v>
      </c>
      <c r="D204" t="inlineStr">
        <is>
          <t>Subhashish Panigrahi</t>
        </is>
      </c>
      <c r="E204" t="inlineStr">
        <is>
          <t>SSRN Electronic Journal</t>
        </is>
      </c>
      <c r="F204" t="inlineStr">
        <is>
          <t>preprint</t>
        </is>
      </c>
      <c r="G204" t="inlineStr">
        <is>
          <t>10.2139/ssrn.3971724</t>
        </is>
      </c>
      <c r="H204" t="inlineStr">
        <is>
          <t>W4404558200</t>
        </is>
      </c>
      <c r="I204" t="inlineStr">
        <is>
          <t>https://doi.org/10.2139/ssrn.3971724</t>
        </is>
      </c>
      <c r="J204" t="inlineStr">
        <is>
          <t>https://doi.org/10.2139/ssrn.3971724</t>
        </is>
      </c>
      <c r="K204" t="n">
        <v>2</v>
      </c>
      <c r="L204" t="inlineStr">
        <is>
          <t>B</t>
        </is>
      </c>
      <c r="M204" t="inlineStr">
        <is>
          <t>B5</t>
        </is>
      </c>
      <c r="N204" t="inlineStr"/>
      <c r="O204" t="inlineStr"/>
      <c r="P204" t="inlineStr">
        <is>
          <t>Not place-specific</t>
        </is>
      </c>
      <c r="Q204" t="inlineStr"/>
      <c r="R204" t="inlineStr"/>
      <c r="S204" t="inlineStr"/>
      <c r="T204" t="inlineStr">
        <is>
          <t>unclear</t>
        </is>
      </c>
      <c r="U204" t="inlineStr"/>
      <c r="V204" t="inlineStr"/>
      <c r="W204" t="inlineStr"/>
      <c r="X204" t="inlineStr"/>
      <c r="Y204" t="inlineStr"/>
      <c r="Z204" t="inlineStr">
        <is>
          <t>low</t>
        </is>
      </c>
      <c r="AA204" t="inlineStr">
        <is>
          <t>B5:recent</t>
        </is>
      </c>
      <c r="AB204" t="inlineStr"/>
    </row>
    <row r="205">
      <c r="A205" t="inlineStr">
        <is>
          <t>LM00204</t>
        </is>
      </c>
      <c r="B205" t="inlineStr">
        <is>
          <t>HyperVerge, Aadhaar, and Surveillance Capitalism in India</t>
        </is>
      </c>
      <c r="C205" t="n">
        <v>2025</v>
      </c>
      <c r="D205" t="inlineStr">
        <is>
          <t>Haakon Huynh</t>
        </is>
      </c>
      <c r="E205" t="inlineStr">
        <is>
          <t>SSRN Electronic Journal</t>
        </is>
      </c>
      <c r="F205" t="inlineStr">
        <is>
          <t>preprint</t>
        </is>
      </c>
      <c r="G205" t="inlineStr">
        <is>
          <t>10.2139/ssrn.5285721</t>
        </is>
      </c>
      <c r="H205" t="inlineStr">
        <is>
          <t>W4411259158</t>
        </is>
      </c>
      <c r="I205" t="inlineStr">
        <is>
          <t>https://doi.org/10.2139/ssrn.5285721</t>
        </is>
      </c>
      <c r="J205" t="inlineStr">
        <is>
          <t>https://doi.org/10.2139/ssrn.5285721</t>
        </is>
      </c>
      <c r="K205" t="n">
        <v>2</v>
      </c>
      <c r="L205" t="inlineStr">
        <is>
          <t>B</t>
        </is>
      </c>
      <c r="M205" t="inlineStr">
        <is>
          <t>B5</t>
        </is>
      </c>
      <c r="N205" t="inlineStr"/>
      <c r="O205" t="inlineStr">
        <is>
          <t>India</t>
        </is>
      </c>
      <c r="P205" t="inlineStr">
        <is>
          <t>South Asia</t>
        </is>
      </c>
      <c r="Q205" t="inlineStr">
        <is>
          <t>Y</t>
        </is>
      </c>
      <c r="R205" t="inlineStr"/>
      <c r="S205" t="inlineStr"/>
      <c r="T205" t="inlineStr">
        <is>
          <t>unclear</t>
        </is>
      </c>
      <c r="U205" t="inlineStr"/>
      <c r="V205" t="inlineStr"/>
      <c r="W205" t="inlineStr"/>
      <c r="X205" t="inlineStr"/>
      <c r="Y205" t="inlineStr"/>
      <c r="Z205" t="inlineStr">
        <is>
          <t>low</t>
        </is>
      </c>
      <c r="AA205" t="inlineStr">
        <is>
          <t>B5:india; B5:recent</t>
        </is>
      </c>
      <c r="AB205" t="inlineStr"/>
    </row>
    <row r="206">
      <c r="A206" t="inlineStr">
        <is>
          <t>LM00205</t>
        </is>
      </c>
      <c r="B206" t="inlineStr">
        <is>
          <t>India: Unique Identification Authority</t>
        </is>
      </c>
      <c r="C206" t="n">
        <v>2016</v>
      </c>
      <c r="D206" t="inlineStr">
        <is>
          <t>Sonalika Chaturvedi; Hariharan Sriram</t>
        </is>
      </c>
      <c r="E206" t="inlineStr">
        <is>
          <t>Springer eBooks</t>
        </is>
      </c>
      <c r="F206" t="inlineStr">
        <is>
          <t>book-chapter</t>
        </is>
      </c>
      <c r="G206" t="inlineStr">
        <is>
          <t>10.1007/978-3-319-38795-6_8</t>
        </is>
      </c>
      <c r="H206" t="inlineStr">
        <is>
          <t>W2551389452</t>
        </is>
      </c>
      <c r="I206" t="inlineStr">
        <is>
          <t>https://doi.org/10.1007/978-3-319-38795-6_8</t>
        </is>
      </c>
      <c r="J206" t="inlineStr"/>
      <c r="K206" t="n">
        <v>1</v>
      </c>
      <c r="L206" t="inlineStr">
        <is>
          <t>B</t>
        </is>
      </c>
      <c r="M206" t="inlineStr">
        <is>
          <t>B5</t>
        </is>
      </c>
      <c r="N206" t="inlineStr"/>
      <c r="O206" t="inlineStr">
        <is>
          <t>India</t>
        </is>
      </c>
      <c r="P206" t="inlineStr">
        <is>
          <t>South Asia</t>
        </is>
      </c>
      <c r="Q206" t="inlineStr">
        <is>
          <t>Y</t>
        </is>
      </c>
      <c r="R206" t="inlineStr"/>
      <c r="S206" t="inlineStr"/>
      <c r="T206" t="inlineStr">
        <is>
          <t>unclear</t>
        </is>
      </c>
      <c r="U206" t="inlineStr"/>
      <c r="V206" t="inlineStr"/>
      <c r="W206" t="inlineStr"/>
      <c r="X206" t="inlineStr"/>
      <c r="Y206" t="inlineStr"/>
      <c r="Z206" t="inlineStr">
        <is>
          <t>low</t>
        </is>
      </c>
      <c r="AA206" t="inlineStr">
        <is>
          <t>B5:india</t>
        </is>
      </c>
      <c r="AB206" t="inlineStr"/>
      <c r="AC206" t="n">
        <v>0</v>
      </c>
    </row>
    <row r="207">
      <c r="A207" t="inlineStr">
        <is>
          <t>LM00206</t>
        </is>
      </c>
      <c r="B207" t="inlineStr">
        <is>
          <t>Sinking Under Its Own Weight: Case of Aadhaar Mediated Entitlements in India</t>
        </is>
      </c>
      <c r="C207" t="n">
        <v>2019</v>
      </c>
      <c r="D207" t="inlineStr">
        <is>
          <t>Arunima Sehgal Mukherjee; Sundeep Sahay</t>
        </is>
      </c>
      <c r="E207" t="inlineStr">
        <is>
          <t>IFIP advances in information and communication technology</t>
        </is>
      </c>
      <c r="F207" t="inlineStr">
        <is>
          <t>conference-paper</t>
        </is>
      </c>
      <c r="G207" t="inlineStr">
        <is>
          <t>10.1007/978-3-030-18400-1_39</t>
        </is>
      </c>
      <c r="H207" t="inlineStr">
        <is>
          <t>W2940830251</t>
        </is>
      </c>
      <c r="I207" t="inlineStr">
        <is>
          <t>https://doi.org/10.1007/978-3-030-18400-1_39</t>
        </is>
      </c>
      <c r="J207" t="inlineStr">
        <is>
          <t>https://inria.hal.science/hal-02285263</t>
        </is>
      </c>
      <c r="K207" t="n">
        <v>1</v>
      </c>
      <c r="L207" t="inlineStr">
        <is>
          <t>B</t>
        </is>
      </c>
      <c r="M207" t="inlineStr">
        <is>
          <t>B5</t>
        </is>
      </c>
      <c r="N207" t="inlineStr"/>
      <c r="O207" t="inlineStr">
        <is>
          <t>India</t>
        </is>
      </c>
      <c r="P207" t="inlineStr">
        <is>
          <t>South Asia</t>
        </is>
      </c>
      <c r="Q207" t="inlineStr">
        <is>
          <t>Y</t>
        </is>
      </c>
      <c r="R207" t="inlineStr"/>
      <c r="S207" t="inlineStr"/>
      <c r="T207" t="inlineStr">
        <is>
          <t>unclear</t>
        </is>
      </c>
      <c r="U207" t="inlineStr"/>
      <c r="V207" t="inlineStr"/>
      <c r="W207" t="inlineStr"/>
      <c r="X207" t="inlineStr"/>
      <c r="Y207" t="inlineStr"/>
      <c r="Z207" t="inlineStr">
        <is>
          <t>low</t>
        </is>
      </c>
      <c r="AA207" t="inlineStr">
        <is>
          <t>B5:india</t>
        </is>
      </c>
      <c r="AB207" t="inlineStr"/>
      <c r="AC207" t="n">
        <v>1.7495</v>
      </c>
    </row>
    <row r="208">
      <c r="A208" t="inlineStr">
        <is>
          <t>LM00207</t>
        </is>
      </c>
      <c r="B208" t="inlineStr">
        <is>
          <t>Biometric Turn and the Quest of Public Interest. Assessing the National Identification Policy in Cameroon</t>
        </is>
      </c>
      <c r="C208" t="n">
        <v>2023</v>
      </c>
      <c r="D208" t="inlineStr">
        <is>
          <t>Alphonse Bernard Amougou Mbarga; Raoul Tamekou Tsowa</t>
        </is>
      </c>
      <c r="E208" t="inlineStr">
        <is>
          <t>Springer eBooks</t>
        </is>
      </c>
      <c r="F208" t="inlineStr">
        <is>
          <t>book-chapter</t>
        </is>
      </c>
      <c r="G208" t="inlineStr">
        <is>
          <t>10.1007/978-3-031-18704-9_5</t>
        </is>
      </c>
      <c r="H208" t="inlineStr">
        <is>
          <t>W4385413873</t>
        </is>
      </c>
      <c r="I208" t="inlineStr">
        <is>
          <t>https://doi.org/10.1007/978-3-031-18704-9_5</t>
        </is>
      </c>
      <c r="J208" t="inlineStr"/>
      <c r="K208" t="n">
        <v>1</v>
      </c>
      <c r="L208" t="inlineStr">
        <is>
          <t>B</t>
        </is>
      </c>
      <c r="M208" t="inlineStr">
        <is>
          <t>B5</t>
        </is>
      </c>
      <c r="N208" t="inlineStr"/>
      <c r="O208" t="inlineStr">
        <is>
          <t>Cameroon</t>
        </is>
      </c>
      <c r="P208" t="inlineStr">
        <is>
          <t>Africa</t>
        </is>
      </c>
      <c r="Q208" t="inlineStr"/>
      <c r="R208" t="inlineStr"/>
      <c r="S208" t="inlineStr"/>
      <c r="T208" t="inlineStr">
        <is>
          <t>unclear</t>
        </is>
      </c>
      <c r="U208" t="inlineStr"/>
      <c r="V208" t="inlineStr"/>
      <c r="W208" t="inlineStr"/>
      <c r="X208" t="inlineStr"/>
      <c r="Y208" t="inlineStr"/>
      <c r="Z208" t="inlineStr">
        <is>
          <t>low</t>
        </is>
      </c>
      <c r="AA208" t="inlineStr">
        <is>
          <t>B5:recent</t>
        </is>
      </c>
      <c r="AB208" t="inlineStr"/>
      <c r="AC208" t="n">
        <v>0.8436</v>
      </c>
    </row>
    <row r="209">
      <c r="A209" t="inlineStr">
        <is>
          <t>LM00208</t>
        </is>
      </c>
      <c r="B209" t="inlineStr">
        <is>
          <t>Debunking the Idea of a Single (Digital) Identifier: The Case of Identification Documents for Transgender Persons in India</t>
        </is>
      </c>
      <c r="C209" t="n">
        <v>2024</v>
      </c>
      <c r="D209" t="inlineStr">
        <is>
          <t>K. Brindaalakshmi</t>
        </is>
      </c>
      <c r="E209" t="inlineStr">
        <is>
          <t>Journal of Development Policy and Practice</t>
        </is>
      </c>
      <c r="F209" t="inlineStr">
        <is>
          <t>article</t>
        </is>
      </c>
      <c r="G209" t="inlineStr">
        <is>
          <t>10.1177/24551333241247673</t>
        </is>
      </c>
      <c r="H209" t="inlineStr">
        <is>
          <t>W4396897636</t>
        </is>
      </c>
      <c r="I209" t="inlineStr">
        <is>
          <t>https://doi.org/10.1177/24551333241247673</t>
        </is>
      </c>
      <c r="J209" t="inlineStr">
        <is>
          <t>https://journals.sagepub.com/doi/pdf/10.1177/24551333241247673?download=true</t>
        </is>
      </c>
      <c r="K209" t="n">
        <v>1</v>
      </c>
      <c r="L209" t="inlineStr">
        <is>
          <t>B</t>
        </is>
      </c>
      <c r="M209" t="inlineStr">
        <is>
          <t>B5</t>
        </is>
      </c>
      <c r="N209" t="inlineStr"/>
      <c r="O209" t="inlineStr">
        <is>
          <t>India</t>
        </is>
      </c>
      <c r="P209" t="inlineStr">
        <is>
          <t>South Asia</t>
        </is>
      </c>
      <c r="Q209" t="inlineStr">
        <is>
          <t>Y</t>
        </is>
      </c>
      <c r="R209" t="inlineStr"/>
      <c r="S209" t="inlineStr"/>
      <c r="T209" t="inlineStr">
        <is>
          <t>qualitative</t>
        </is>
      </c>
      <c r="U209" t="inlineStr"/>
      <c r="V209" t="inlineStr"/>
      <c r="W209" t="inlineStr">
        <is>
          <t>auto: This essay presents a comparative analysis of the challenges faced by transgender persons before and after the passing of the Transgender Persons (Protection of Rights) Act 2019 in India, a digital welfare state.</t>
        </is>
      </c>
      <c r="X209" t="inlineStr"/>
      <c r="Y209" t="inlineStr"/>
      <c r="Z209" t="inlineStr">
        <is>
          <t>high</t>
        </is>
      </c>
      <c r="AA209" t="inlineStr">
        <is>
          <t>B5:recent</t>
        </is>
      </c>
      <c r="AB209" t="inlineStr"/>
      <c r="AC209" t="n">
        <v>0.496</v>
      </c>
    </row>
    <row r="210">
      <c r="A210" t="inlineStr">
        <is>
          <t>LM00209</t>
        </is>
      </c>
      <c r="B210" t="inlineStr">
        <is>
          <t>Digital ID as a governance game-changer in African democracies: A comparative analysis of Ghana, Nigeria, and India</t>
        </is>
      </c>
      <c r="C210" t="n">
        <v>2025</v>
      </c>
      <c r="D210" t="inlineStr">
        <is>
          <t>Simon Suwanzy Dzreke; Semefa Elikplim Dzreke; Evans Dzreke; Franklin Manasey Dzreke</t>
        </is>
      </c>
      <c r="E210" t="inlineStr">
        <is>
          <t>Advanced Research Journal</t>
        </is>
      </c>
      <c r="F210" t="inlineStr">
        <is>
          <t>article</t>
        </is>
      </c>
      <c r="G210" t="inlineStr">
        <is>
          <t>10.71350/3062192579</t>
        </is>
      </c>
      <c r="H210" t="inlineStr">
        <is>
          <t>W4412572483</t>
        </is>
      </c>
      <c r="I210" t="inlineStr">
        <is>
          <t>https://doi.org/10.71350/3062192579</t>
        </is>
      </c>
      <c r="J210" t="inlineStr">
        <is>
          <t>https://ar-journal.com/index.php/pub/article/download/79/41</t>
        </is>
      </c>
      <c r="K210" t="n">
        <v>1</v>
      </c>
      <c r="L210" t="inlineStr">
        <is>
          <t>B</t>
        </is>
      </c>
      <c r="M210" t="inlineStr">
        <is>
          <t>B5</t>
        </is>
      </c>
      <c r="N210" t="inlineStr"/>
      <c r="O210" t="inlineStr">
        <is>
          <t>Africa; African; Ghana; India; Kenya; Nigeria; Rwanda</t>
        </is>
      </c>
      <c r="P210" t="inlineStr">
        <is>
          <t>Multi-region</t>
        </is>
      </c>
      <c r="Q210" t="inlineStr">
        <is>
          <t>Y</t>
        </is>
      </c>
      <c r="R210" t="inlineStr"/>
      <c r="S210" t="inlineStr"/>
      <c r="T210" t="inlineStr">
        <is>
          <t>qualitative</t>
        </is>
      </c>
      <c r="U210" t="inlineStr"/>
      <c r="V210" t="inlineStr">
        <is>
          <t>Y</t>
        </is>
      </c>
      <c r="W210" t="inlineStr">
        <is>
          <t>auto: This paper challenges deterministic narratives of technological progress by examining how digital ID systems function as institutional mirrors, amplifying both the strengths and weaknesses of the governance ecosystems into which they are introduced.</t>
        </is>
      </c>
      <c r="X210" t="inlineStr"/>
      <c r="Y210" t="inlineStr"/>
      <c r="Z210" t="inlineStr">
        <is>
          <t>high</t>
        </is>
      </c>
      <c r="AA210" t="inlineStr">
        <is>
          <t>B5:recent</t>
        </is>
      </c>
      <c r="AB210" t="inlineStr"/>
      <c r="AC210" t="n">
        <v>4.2134</v>
      </c>
    </row>
    <row r="211">
      <c r="A211" t="inlineStr">
        <is>
          <t>LM00210</t>
        </is>
      </c>
      <c r="B211" t="inlineStr">
        <is>
          <t>Power, panopticism and surveillance: A panoptic perspective on aadhaar</t>
        </is>
      </c>
      <c r="C211" t="n">
        <v>2014</v>
      </c>
      <c r="D211" t="inlineStr">
        <is>
          <t>Basil B. Mathew</t>
        </is>
      </c>
      <c r="E211" t="inlineStr">
        <is>
          <t>ZENITH International Journal of Multidisciplinary Research</t>
        </is>
      </c>
      <c r="F211" t="inlineStr">
        <is>
          <t>article</t>
        </is>
      </c>
      <c r="G211" t="inlineStr"/>
      <c r="H211" t="inlineStr">
        <is>
          <t>W2269673929</t>
        </is>
      </c>
      <c r="I211" t="inlineStr">
        <is>
          <t>http://www.directory.indianjournals.com/ijor.aspx?target=ijor:zijmr&amp;volume=4&amp;issue=7&amp;article=012&amp;type=pdf</t>
        </is>
      </c>
      <c r="J211" t="inlineStr"/>
      <c r="K211" t="n">
        <v>1</v>
      </c>
      <c r="L211" t="inlineStr">
        <is>
          <t>B</t>
        </is>
      </c>
      <c r="M211" t="inlineStr">
        <is>
          <t>B5</t>
        </is>
      </c>
      <c r="N211" t="inlineStr"/>
      <c r="O211" t="inlineStr">
        <is>
          <t>Australia; Canada; China; India; Philippines; United Kingdom</t>
        </is>
      </c>
      <c r="P211" t="inlineStr">
        <is>
          <t>Multi-region</t>
        </is>
      </c>
      <c r="Q211" t="inlineStr">
        <is>
          <t>Y</t>
        </is>
      </c>
      <c r="R211" t="inlineStr"/>
      <c r="S211" t="inlineStr"/>
      <c r="T211" t="inlineStr">
        <is>
          <t>conceptual</t>
        </is>
      </c>
      <c r="U211" t="inlineStr"/>
      <c r="V211" t="inlineStr"/>
      <c r="W211" t="inlineStr">
        <is>
          <t>auto: This paper attempts to summarize the Power, Panopticism and Surveillance and the controversial Aadhaar project.</t>
        </is>
      </c>
      <c r="X211" t="inlineStr"/>
      <c r="Y211" t="inlineStr"/>
      <c r="Z211" t="inlineStr">
        <is>
          <t>high</t>
        </is>
      </c>
      <c r="AA211" t="inlineStr">
        <is>
          <t>B5:india</t>
        </is>
      </c>
      <c r="AB211" t="inlineStr"/>
      <c r="AC211" t="n">
        <v>0</v>
      </c>
    </row>
    <row r="212">
      <c r="A212" t="inlineStr">
        <is>
          <t>LM00211</t>
        </is>
      </c>
      <c r="B212" t="inlineStr">
        <is>
          <t>Digital Public Infrastructure and Digital Financial Services: Convergence, Landscape and Regulatory Considerations</t>
        </is>
      </c>
      <c r="C212" t="n">
        <v>2026</v>
      </c>
      <c r="D212" t="inlineStr">
        <is>
          <t>Pavle Avramovic; Sanya Juneja; Krishnamurthy Suresh; Bryan Zheng Zhang</t>
        </is>
      </c>
      <c r="E212" t="inlineStr">
        <is>
          <t>SSRN Electronic Journal</t>
        </is>
      </c>
      <c r="F212" t="inlineStr">
        <is>
          <t>preprint</t>
        </is>
      </c>
      <c r="G212" t="inlineStr">
        <is>
          <t>10.2139/ssrn.6147566</t>
        </is>
      </c>
      <c r="H212" t="inlineStr">
        <is>
          <t>W7126063301</t>
        </is>
      </c>
      <c r="I212" t="inlineStr">
        <is>
          <t>https://doi.org/10.2139/ssrn.6147566</t>
        </is>
      </c>
      <c r="J212" t="inlineStr">
        <is>
          <t>https://doi.org/10.2139/ssrn.6147566</t>
        </is>
      </c>
      <c r="K212" t="n">
        <v>1</v>
      </c>
      <c r="L212" t="inlineStr">
        <is>
          <t>B</t>
        </is>
      </c>
      <c r="M212" t="inlineStr">
        <is>
          <t>B5</t>
        </is>
      </c>
      <c r="N212" t="inlineStr"/>
      <c r="O212" t="inlineStr"/>
      <c r="P212" t="inlineStr">
        <is>
          <t>Not place-specific</t>
        </is>
      </c>
      <c r="Q212" t="inlineStr"/>
      <c r="R212" t="inlineStr"/>
      <c r="S212" t="inlineStr"/>
      <c r="T212" t="inlineStr">
        <is>
          <t>unclear</t>
        </is>
      </c>
      <c r="U212" t="inlineStr"/>
      <c r="V212" t="inlineStr"/>
      <c r="W212" t="inlineStr"/>
      <c r="X212" t="inlineStr"/>
      <c r="Y212" t="inlineStr"/>
      <c r="Z212" t="inlineStr">
        <is>
          <t>low</t>
        </is>
      </c>
      <c r="AA212" t="inlineStr">
        <is>
          <t>B5:recent</t>
        </is>
      </c>
      <c r="AB212" t="inlineStr"/>
    </row>
    <row r="213">
      <c r="A213" t="inlineStr">
        <is>
          <t>LM00212</t>
        </is>
      </c>
      <c r="B213" t="inlineStr">
        <is>
          <t>Identification for Development (ID4D): Diagnostic of ID Systems in Cameroon</t>
        </is>
      </c>
      <c r="C213" t="n">
        <v>2024</v>
      </c>
      <c r="D213" t="inlineStr">
        <is>
          <t>World Bank</t>
        </is>
      </c>
      <c r="E213" t="inlineStr">
        <is>
          <t>World Bank, Washington, DC eBooks</t>
        </is>
      </c>
      <c r="F213" t="inlineStr">
        <is>
          <t>book</t>
        </is>
      </c>
      <c r="G213" t="inlineStr">
        <is>
          <t>10.1596/40953</t>
        </is>
      </c>
      <c r="H213" t="inlineStr">
        <is>
          <t>W4391187801</t>
        </is>
      </c>
      <c r="I213" t="inlineStr">
        <is>
          <t>https://doi.org/10.1596/40953</t>
        </is>
      </c>
      <c r="J213" t="inlineStr">
        <is>
          <t>http://documents.worldbank.org/curated/en/099012224014015727/P17954719e30e500182e514e59efb88249</t>
        </is>
      </c>
      <c r="K213" t="n">
        <v>0</v>
      </c>
      <c r="L213" t="inlineStr">
        <is>
          <t>B</t>
        </is>
      </c>
      <c r="M213" t="inlineStr">
        <is>
          <t>B5</t>
        </is>
      </c>
      <c r="N213" t="inlineStr"/>
      <c r="O213" t="inlineStr">
        <is>
          <t>Cameroon</t>
        </is>
      </c>
      <c r="P213" t="inlineStr">
        <is>
          <t>Africa</t>
        </is>
      </c>
      <c r="Q213" t="inlineStr"/>
      <c r="R213" t="inlineStr"/>
      <c r="S213" t="inlineStr"/>
      <c r="T213" t="inlineStr">
        <is>
          <t>unclear</t>
        </is>
      </c>
      <c r="U213" t="inlineStr"/>
      <c r="V213" t="inlineStr"/>
      <c r="W213" t="inlineStr">
        <is>
          <t>auto: An estimated 7.5 million Cameroonians—about one in three people in the country—do not have an official proof of identity such as a birth certificate or national ID card.</t>
        </is>
      </c>
      <c r="X213" t="inlineStr">
        <is>
          <t>auto: Women, people in rural areas, young people aged 18-24, people among the poorest 40 percent of the population, and internally displaced persons (IDPs) disproportionately suffer due to the lack of identity documents.</t>
        </is>
      </c>
      <c r="Y213" t="inlineStr"/>
      <c r="Z213" t="inlineStr">
        <is>
          <t>high</t>
        </is>
      </c>
      <c r="AA213" t="inlineStr">
        <is>
          <t>B5:recent</t>
        </is>
      </c>
      <c r="AB213" t="inlineStr"/>
      <c r="AC213" t="n">
        <v>0</v>
      </c>
    </row>
    <row r="214">
      <c r="A214" t="inlineStr">
        <is>
          <t>LM00213</t>
        </is>
      </c>
      <c r="B214" t="inlineStr">
        <is>
          <t>Infrastructures of excess: Politics of biometric and data-based citizenship in Pakistan’s cash transfers program</t>
        </is>
      </c>
      <c r="C214" t="n">
        <v>2025</v>
      </c>
      <c r="D214" t="inlineStr">
        <is>
          <t>Ali Mohsin</t>
        </is>
      </c>
      <c r="E214" t="inlineStr">
        <is>
          <t>Flux</t>
        </is>
      </c>
      <c r="F214" t="inlineStr">
        <is>
          <t>article</t>
        </is>
      </c>
      <c r="G214" t="inlineStr">
        <is>
          <t>10.3917/flux1.139.0081</t>
        </is>
      </c>
      <c r="H214" t="inlineStr">
        <is>
          <t>W4412203698</t>
        </is>
      </c>
      <c r="I214" t="inlineStr">
        <is>
          <t>https://doi.org/10.3917/flux1.139.0081</t>
        </is>
      </c>
      <c r="J214" t="inlineStr">
        <is>
          <t>https://shs.cairn.info/article/FLUX1_139_0081/pdf?lang=fr</t>
        </is>
      </c>
      <c r="K214" t="n">
        <v>0</v>
      </c>
      <c r="L214" t="inlineStr">
        <is>
          <t>B</t>
        </is>
      </c>
      <c r="M214" t="inlineStr">
        <is>
          <t>B5</t>
        </is>
      </c>
      <c r="N214" t="inlineStr"/>
      <c r="O214" t="inlineStr">
        <is>
          <t>Lahore; Pakistan</t>
        </is>
      </c>
      <c r="P214" t="inlineStr">
        <is>
          <t>South Asia</t>
        </is>
      </c>
      <c r="Q214" t="inlineStr"/>
      <c r="R214" t="inlineStr"/>
      <c r="S214" t="inlineStr"/>
      <c r="T214" t="inlineStr">
        <is>
          <t>qualitative</t>
        </is>
      </c>
      <c r="U214" t="inlineStr"/>
      <c r="V214" t="inlineStr"/>
      <c r="W214" t="inlineStr">
        <is>
          <t>auto: Quels types de subjectivités politiques sont produites par les régimes de protection sociale basés sur le numérique et les données ?</t>
        </is>
      </c>
      <c r="X214" t="inlineStr"/>
      <c r="Y214" t="inlineStr"/>
      <c r="Z214" t="inlineStr">
        <is>
          <t>high</t>
        </is>
      </c>
      <c r="AA214" t="inlineStr">
        <is>
          <t>B5:recent</t>
        </is>
      </c>
      <c r="AB214" t="inlineStr"/>
      <c r="AC214" t="n">
        <v>0</v>
      </c>
    </row>
    <row r="215">
      <c r="A215" t="inlineStr">
        <is>
          <t>LM00214</t>
        </is>
      </c>
      <c r="B215" t="inlineStr">
        <is>
          <t>India’s digital public infrastructure: Analyzing UPI and Aadhaar in GDP growth and cost optimization</t>
        </is>
      </c>
      <c r="C215" t="n">
        <v>2025</v>
      </c>
      <c r="D215" t="inlineStr">
        <is>
          <t>Aniket Thukral; Lakshit Dagar</t>
        </is>
      </c>
      <c r="E215" t="inlineStr">
        <is>
          <t>Journal of Emerging Investigators</t>
        </is>
      </c>
      <c r="F215" t="inlineStr">
        <is>
          <t>article</t>
        </is>
      </c>
      <c r="G215" t="inlineStr">
        <is>
          <t>10.59720/25-046</t>
        </is>
      </c>
      <c r="H215" t="inlineStr">
        <is>
          <t>W4415011675</t>
        </is>
      </c>
      <c r="I215" t="inlineStr">
        <is>
          <t>https://doi.org/10.59720/25-046</t>
        </is>
      </c>
      <c r="J215" t="inlineStr">
        <is>
          <t>https://emerginginvestigators.org/articles/25-046/pdf</t>
        </is>
      </c>
      <c r="K215" t="n">
        <v>0</v>
      </c>
      <c r="L215" t="inlineStr">
        <is>
          <t>B</t>
        </is>
      </c>
      <c r="M215" t="inlineStr">
        <is>
          <t>B5</t>
        </is>
      </c>
      <c r="N215" t="inlineStr"/>
      <c r="O215" t="inlineStr">
        <is>
          <t>India</t>
        </is>
      </c>
      <c r="P215" t="inlineStr">
        <is>
          <t>South Asia</t>
        </is>
      </c>
      <c r="Q215" t="inlineStr">
        <is>
          <t>Y</t>
        </is>
      </c>
      <c r="R215" t="inlineStr"/>
      <c r="S215" t="inlineStr"/>
      <c r="T215" t="inlineStr">
        <is>
          <t>quantitative</t>
        </is>
      </c>
      <c r="U215" t="inlineStr"/>
      <c r="V215" t="inlineStr"/>
      <c r="W215" t="inlineStr">
        <is>
          <t>auto: This study quantifies their macroeconomic impact, hypothesizing that UPI contributes to Gross Domestic Product (GDP) growth primarily through reduced transaction costs, while Aadhaar supports GDP growth through Direct Benefit Transfer (DBT) efficiencies.</t>
        </is>
      </c>
      <c r="X215" t="inlineStr"/>
      <c r="Y215" t="inlineStr"/>
      <c r="Z215" t="inlineStr">
        <is>
          <t>high</t>
        </is>
      </c>
      <c r="AA215" t="inlineStr">
        <is>
          <t>B5:recent</t>
        </is>
      </c>
      <c r="AB215" t="inlineStr"/>
      <c r="AC215" t="n">
        <v>0</v>
      </c>
    </row>
    <row r="216">
      <c r="A216" t="inlineStr">
        <is>
          <t>LM00215</t>
        </is>
      </c>
      <c r="B216" t="inlineStr">
        <is>
          <t>Digital Public Infrastructure as a Driver of Innovation: Global Lessons from the India Stack Experience</t>
        </is>
      </c>
      <c r="C216" t="n">
        <v>2026</v>
      </c>
      <c r="D216" t="inlineStr">
        <is>
          <t>Aswathi Mary Varghese; K. Jisha</t>
        </is>
      </c>
      <c r="E216" t="inlineStr">
        <is>
          <t>Lecture notes in networks and systems</t>
        </is>
      </c>
      <c r="F216" t="inlineStr">
        <is>
          <t>conference-paper</t>
        </is>
      </c>
      <c r="G216" t="inlineStr">
        <is>
          <t>10.1007/978-3-032-12996-3_27</t>
        </is>
      </c>
      <c r="H216" t="inlineStr">
        <is>
          <t>W7117969054</t>
        </is>
      </c>
      <c r="I216" t="inlineStr">
        <is>
          <t>https://doi.org/10.1007/978-3-032-12996-3_27</t>
        </is>
      </c>
      <c r="J216" t="inlineStr"/>
      <c r="K216" t="n">
        <v>0</v>
      </c>
      <c r="L216" t="inlineStr">
        <is>
          <t>B</t>
        </is>
      </c>
      <c r="M216" t="inlineStr">
        <is>
          <t>B5</t>
        </is>
      </c>
      <c r="N216" t="inlineStr"/>
      <c r="O216" t="inlineStr">
        <is>
          <t>India</t>
        </is>
      </c>
      <c r="P216" t="inlineStr">
        <is>
          <t>South Asia</t>
        </is>
      </c>
      <c r="Q216" t="inlineStr">
        <is>
          <t>Y</t>
        </is>
      </c>
      <c r="R216" t="inlineStr"/>
      <c r="S216" t="inlineStr"/>
      <c r="T216" t="inlineStr">
        <is>
          <t>unclear</t>
        </is>
      </c>
      <c r="U216" t="inlineStr"/>
      <c r="V216" t="inlineStr"/>
      <c r="W216" t="inlineStr"/>
      <c r="X216" t="inlineStr"/>
      <c r="Y216" t="inlineStr"/>
      <c r="Z216" t="inlineStr">
        <is>
          <t>low</t>
        </is>
      </c>
      <c r="AA216" t="inlineStr">
        <is>
          <t>B5:india; B5:recent</t>
        </is>
      </c>
      <c r="AB216" t="inlineStr"/>
      <c r="AC216" t="n">
        <v>0</v>
      </c>
    </row>
    <row r="217">
      <c r="A217" t="inlineStr">
        <is>
          <t>LM00216</t>
        </is>
      </c>
      <c r="B217" t="inlineStr">
        <is>
          <t>The Architecture of Influence: India’s Digital Public Infrastructure and Its Significance</t>
        </is>
      </c>
      <c r="C217" t="n">
        <v>2026</v>
      </c>
      <c r="D217" t="inlineStr">
        <is>
          <t>Abhay Singh</t>
        </is>
      </c>
      <c r="E217" t="inlineStr">
        <is>
          <t>International Journal For Multidisciplinary Research</t>
        </is>
      </c>
      <c r="F217" t="inlineStr">
        <is>
          <t>article</t>
        </is>
      </c>
      <c r="G217" t="inlineStr">
        <is>
          <t>10.36948/ijfmr.2026.v08i01.68524</t>
        </is>
      </c>
      <c r="H217" t="inlineStr">
        <is>
          <t>W7128688752</t>
        </is>
      </c>
      <c r="I217" t="inlineStr">
        <is>
          <t>https://doi.org/10.36948/ijfmr.2026.v08i01.68524</t>
        </is>
      </c>
      <c r="J217" t="inlineStr">
        <is>
          <t>https://www.ijfmr.com/papers/2026/1/68524.pdf</t>
        </is>
      </c>
      <c r="K217" t="n">
        <v>0</v>
      </c>
      <c r="L217" t="inlineStr">
        <is>
          <t>B</t>
        </is>
      </c>
      <c r="M217" t="inlineStr">
        <is>
          <t>B5</t>
        </is>
      </c>
      <c r="N217" t="inlineStr"/>
      <c r="O217" t="inlineStr">
        <is>
          <t>China; India</t>
        </is>
      </c>
      <c r="P217" t="inlineStr">
        <is>
          <t>Multi-region</t>
        </is>
      </c>
      <c r="Q217" t="inlineStr">
        <is>
          <t>Y</t>
        </is>
      </c>
      <c r="R217" t="inlineStr"/>
      <c r="S217" t="inlineStr"/>
      <c r="T217" t="inlineStr">
        <is>
          <t>conceptual</t>
        </is>
      </c>
      <c r="U217" t="inlineStr"/>
      <c r="V217" t="inlineStr"/>
      <c r="W217" t="inlineStr">
        <is>
          <t>auto: Digital Public Infrastructure (DPI) stands as one of the most transformative innovations of the twenty-first century,fundamentally reshaping governance,service delivery,financial inclusion and digital identity systems.India has developed the world’s largest DPI ecosystem,comprising key components…</t>
        </is>
      </c>
      <c r="X217" t="inlineStr"/>
      <c r="Y217" t="inlineStr"/>
      <c r="Z217" t="inlineStr">
        <is>
          <t>high</t>
        </is>
      </c>
      <c r="AA217" t="inlineStr">
        <is>
          <t>B5:recent</t>
        </is>
      </c>
      <c r="AB217" t="inlineStr"/>
      <c r="AC217" t="n">
        <v>0</v>
      </c>
    </row>
    <row r="218">
      <c r="A218" t="inlineStr">
        <is>
          <t>LM00217</t>
        </is>
      </c>
      <c r="B218" t="inlineStr">
        <is>
          <t>Digital innovation in welfare delivery: a qualitative case study-based assessment of Aadhaar-based automation and rural exclusion in India</t>
        </is>
      </c>
      <c r="C218" t="n">
        <v>2026</v>
      </c>
      <c r="D218" t="inlineStr">
        <is>
          <t>Gargee Sarkar</t>
        </is>
      </c>
      <c r="E218" t="inlineStr">
        <is>
          <t>CRC Press eBooks</t>
        </is>
      </c>
      <c r="F218" t="inlineStr">
        <is>
          <t>book-chapter</t>
        </is>
      </c>
      <c r="G218" t="inlineStr">
        <is>
          <t>10.1201/9781003773504-117</t>
        </is>
      </c>
      <c r="H218" t="inlineStr">
        <is>
          <t>W7129387030</t>
        </is>
      </c>
      <c r="I218" t="inlineStr">
        <is>
          <t>https://doi.org/10.1201/9781003773504-117</t>
        </is>
      </c>
      <c r="J218" t="inlineStr"/>
      <c r="K218" t="n">
        <v>0</v>
      </c>
      <c r="L218" t="inlineStr">
        <is>
          <t>B</t>
        </is>
      </c>
      <c r="M218" t="inlineStr">
        <is>
          <t>B5</t>
        </is>
      </c>
      <c r="N218" t="inlineStr"/>
      <c r="O218" t="inlineStr">
        <is>
          <t>India</t>
        </is>
      </c>
      <c r="P218" t="inlineStr">
        <is>
          <t>South Asia</t>
        </is>
      </c>
      <c r="Q218" t="inlineStr">
        <is>
          <t>Y</t>
        </is>
      </c>
      <c r="R218" t="inlineStr"/>
      <c r="S218" t="inlineStr"/>
      <c r="T218" t="inlineStr">
        <is>
          <t>qualitative</t>
        </is>
      </c>
      <c r="U218" t="inlineStr"/>
      <c r="V218" t="inlineStr"/>
      <c r="W218" t="inlineStr">
        <is>
          <t>auto: This paper conducts a qualitative assessment of Aadhaar-enabled welfare automation and its impacts.</t>
        </is>
      </c>
      <c r="X218" t="inlineStr">
        <is>
          <t>auto: Integration of digital automation has highlighted gaps in welfare delivery, particularly in rural areas.</t>
        </is>
      </c>
      <c r="Y218" t="inlineStr"/>
      <c r="Z218" t="inlineStr">
        <is>
          <t>high</t>
        </is>
      </c>
      <c r="AA218" t="inlineStr">
        <is>
          <t>B5:india; B5:recent</t>
        </is>
      </c>
      <c r="AB218" t="inlineStr"/>
      <c r="AC218" t="n">
        <v>0</v>
      </c>
    </row>
    <row r="219">
      <c r="A219" t="inlineStr">
        <is>
          <t>LM00218</t>
        </is>
      </c>
      <c r="B219" t="inlineStr">
        <is>
          <t>TRUST: DUAL-FALLBACK BIOMETRIC AUTHENTICATION FOR INCLUSIVE WELFARE DELIVERY IN INDIA'S PUBLIC DISTRIBUTION SYSTEM</t>
        </is>
      </c>
      <c r="C219" t="n">
        <v>2026</v>
      </c>
      <c r="D219" t="inlineStr">
        <is>
          <t>Balakiruba J; Vimal P B N; Santhiya A; Shiba Sri R; Mohamed Saheem Sees Cheloor Panichiyal</t>
        </is>
      </c>
      <c r="E219" t="inlineStr">
        <is>
          <t>International Journal of Scientific Research</t>
        </is>
      </c>
      <c r="F219" t="inlineStr">
        <is>
          <t>article</t>
        </is>
      </c>
      <c r="G219" t="inlineStr">
        <is>
          <t>10.36106/ijsr/5217251</t>
        </is>
      </c>
      <c r="H219" t="inlineStr">
        <is>
          <t>W7161638914</t>
        </is>
      </c>
      <c r="I219" t="inlineStr">
        <is>
          <t>https://doi.org/10.36106/ijsr/5217251</t>
        </is>
      </c>
      <c r="J219" t="inlineStr">
        <is>
          <t>https://doi.org/10.36106/ijsr/5217251</t>
        </is>
      </c>
      <c r="K219" t="n">
        <v>0</v>
      </c>
      <c r="L219" t="inlineStr">
        <is>
          <t>B</t>
        </is>
      </c>
      <c r="M219" t="inlineStr">
        <is>
          <t>B5</t>
        </is>
      </c>
      <c r="N219" t="inlineStr"/>
      <c r="O219" t="inlineStr"/>
      <c r="P219" t="inlineStr">
        <is>
          <t>Not place-specific</t>
        </is>
      </c>
      <c r="Q219" t="inlineStr"/>
      <c r="R219" t="inlineStr"/>
      <c r="S219" t="inlineStr"/>
      <c r="T219" t="inlineStr">
        <is>
          <t>unclear</t>
        </is>
      </c>
      <c r="U219" t="inlineStr"/>
      <c r="V219" t="inlineStr"/>
      <c r="W219" t="inlineStr"/>
      <c r="X219" t="inlineStr"/>
      <c r="Y219" t="inlineStr"/>
      <c r="Z219" t="inlineStr">
        <is>
          <t>low</t>
        </is>
      </c>
      <c r="AA219" t="inlineStr">
        <is>
          <t>B5:recent</t>
        </is>
      </c>
      <c r="AB219" t="inlineStr"/>
      <c r="AC219" t="n">
        <v>0</v>
      </c>
    </row>
    <row r="220">
      <c r="A220" t="inlineStr">
        <is>
          <t>LM00219</t>
        </is>
      </c>
      <c r="B220" t="inlineStr">
        <is>
          <t>Digital identity, algorithmic-administrative governance and the transformation of social policy provisioning in Ghana: a political economy analysis of digitally mediated welfare systems</t>
        </is>
      </c>
      <c r="C220" t="n">
        <v>2026</v>
      </c>
      <c r="D220" t="inlineStr">
        <is>
          <t>Michael Kpessa-Whyte</t>
        </is>
      </c>
      <c r="E220" t="inlineStr">
        <is>
          <t>International Journal of Sociology and Social Policy</t>
        </is>
      </c>
      <c r="F220" t="inlineStr">
        <is>
          <t>article</t>
        </is>
      </c>
      <c r="G220" t="inlineStr">
        <is>
          <t>10.1108/ijssp-02-2026-0198</t>
        </is>
      </c>
      <c r="H220" t="inlineStr">
        <is>
          <t>W7163350741</t>
        </is>
      </c>
      <c r="I220" t="inlineStr">
        <is>
          <t>https://doi.org/10.1108/ijssp-02-2026-0198</t>
        </is>
      </c>
      <c r="J220" t="inlineStr"/>
      <c r="K220" t="n">
        <v>0</v>
      </c>
      <c r="L220" t="inlineStr">
        <is>
          <t>B</t>
        </is>
      </c>
      <c r="M220" t="inlineStr">
        <is>
          <t>B5</t>
        </is>
      </c>
      <c r="N220" t="inlineStr"/>
      <c r="O220" t="inlineStr">
        <is>
          <t>Ghana</t>
        </is>
      </c>
      <c r="P220" t="inlineStr">
        <is>
          <t>Africa</t>
        </is>
      </c>
      <c r="Q220" t="inlineStr"/>
      <c r="R220" t="inlineStr"/>
      <c r="S220" t="inlineStr"/>
      <c r="T220" t="inlineStr">
        <is>
          <t>mixed</t>
        </is>
      </c>
      <c r="U220" t="inlineStr"/>
      <c r="V220" t="inlineStr"/>
      <c r="W220" t="inlineStr">
        <is>
          <t>auto: This paper examines how Ghana's digital identity infrastructure, anchored in the Ghana Card and progressively integrated with biometric, administrative and social programme databases, is reshaping the design and delivery of social protection.</t>
        </is>
      </c>
      <c r="X220" t="inlineStr">
        <is>
          <t>auto: The paper examines whether AI-supported digital identification enhances targeting efficiency and inclusion or reproduces novel forms of exclusion through data gaps, biometric failures and opaque decision-making. | Research limitations/implications The analysis is constrained by scarce data on actual AI usage.</t>
        </is>
      </c>
      <c r="Y220" t="inlineStr"/>
      <c r="Z220" t="inlineStr">
        <is>
          <t>high</t>
        </is>
      </c>
      <c r="AA220" t="inlineStr">
        <is>
          <t>B5:recent</t>
        </is>
      </c>
      <c r="AB220" t="inlineStr"/>
      <c r="AC220" t="n">
        <v>0</v>
      </c>
    </row>
    <row r="221">
      <c r="A221" t="inlineStr">
        <is>
          <t>LM00220</t>
        </is>
      </c>
      <c r="B221" t="inlineStr">
        <is>
          <t>ID4D Global Dataset 2025: Trends in Identification for Development</t>
        </is>
      </c>
      <c r="C221" t="n">
        <v>2026</v>
      </c>
      <c r="D221" t="inlineStr">
        <is>
          <t>S. Ansar; J.M. Clark; J.M. Wolff</t>
        </is>
      </c>
      <c r="E221" t="inlineStr">
        <is>
          <t>World Bank, Washington, DC eBooks</t>
        </is>
      </c>
      <c r="F221" t="inlineStr">
        <is>
          <t>book</t>
        </is>
      </c>
      <c r="G221" t="inlineStr">
        <is>
          <t>10.1596/45064</t>
        </is>
      </c>
      <c r="H221" t="inlineStr">
        <is>
          <t>W7165404341</t>
        </is>
      </c>
      <c r="I221" t="inlineStr">
        <is>
          <t>https://doi.org/10.1596/45064</t>
        </is>
      </c>
      <c r="J221" t="inlineStr">
        <is>
          <t>http://hdl.handle.net/10986/45064</t>
        </is>
      </c>
      <c r="K221" t="n">
        <v>0</v>
      </c>
      <c r="L221" t="inlineStr">
        <is>
          <t>B</t>
        </is>
      </c>
      <c r="M221" t="inlineStr">
        <is>
          <t>B5</t>
        </is>
      </c>
      <c r="N221" t="inlineStr"/>
      <c r="O221" t="inlineStr">
        <is>
          <t>Africa</t>
        </is>
      </c>
      <c r="P221" t="inlineStr">
        <is>
          <t>Africa</t>
        </is>
      </c>
      <c r="Q221" t="inlineStr"/>
      <c r="R221" t="inlineStr"/>
      <c r="S221" t="inlineStr"/>
      <c r="T221" t="inlineStr">
        <is>
          <t>quantitative</t>
        </is>
      </c>
      <c r="U221" t="inlineStr"/>
      <c r="V221" t="inlineStr"/>
      <c r="W221" t="inlineStr">
        <is>
          <t>auto: This paper is structured as follows: section 1 summarizes key trends in foundational ID ownership globally and across regions, including the demographic determinants of ID ownership, common barriers preventing people from obtaining IDs, and the concrete difficulties those without them face.</t>
        </is>
      </c>
      <c r="X221" t="inlineStr">
        <is>
          <t>auto: The findings show continued progress, but large gaps remain. | Globally, an estimated 800 million people still lack proof of legal identity, with the gap heavily concentrated in low-income countries (LICs) and Sub Saharan Africa (SSA).</t>
        </is>
      </c>
      <c r="Y221" t="inlineStr"/>
      <c r="Z221" t="inlineStr">
        <is>
          <t>high</t>
        </is>
      </c>
      <c r="AA221" t="inlineStr">
        <is>
          <t>B5:recent</t>
        </is>
      </c>
      <c r="AB221" t="inlineStr"/>
      <c r="AC221" t="n">
        <v>0</v>
      </c>
    </row>
    <row r="222">
      <c r="A222" t="inlineStr">
        <is>
          <t>LM00221</t>
        </is>
      </c>
      <c r="B222" t="inlineStr">
        <is>
          <t>Brokers of citizenship. Justices of the peace as intermediaries in Sierra Leone’s digital identification project</t>
        </is>
      </c>
      <c r="C222" t="n">
        <v>2026</v>
      </c>
      <c r="D222" t="inlineStr">
        <is>
          <t>Laura Lambert</t>
        </is>
      </c>
      <c r="E222" t="inlineStr">
        <is>
          <t>Citizenship Studies</t>
        </is>
      </c>
      <c r="F222" t="inlineStr">
        <is>
          <t>article</t>
        </is>
      </c>
      <c r="G222" t="inlineStr">
        <is>
          <t>10.48548/pubdata-3892</t>
        </is>
      </c>
      <c r="H222" t="inlineStr">
        <is>
          <t>W7169619394</t>
        </is>
      </c>
      <c r="I222" t="inlineStr">
        <is>
          <t>https://doi.org/10.48548/pubdata-3892</t>
        </is>
      </c>
      <c r="J222" t="inlineStr">
        <is>
          <t>https://doi.org/10.48548/pubdata-3892</t>
        </is>
      </c>
      <c r="K222" t="n">
        <v>0</v>
      </c>
      <c r="L222" t="inlineStr">
        <is>
          <t>B</t>
        </is>
      </c>
      <c r="M222" t="inlineStr">
        <is>
          <t>B5</t>
        </is>
      </c>
      <c r="N222" t="inlineStr"/>
      <c r="O222" t="inlineStr">
        <is>
          <t>Sierra Leone</t>
        </is>
      </c>
      <c r="P222" t="inlineStr">
        <is>
          <t>Africa</t>
        </is>
      </c>
      <c r="Q222" t="inlineStr"/>
      <c r="R222" t="inlineStr"/>
      <c r="S222" t="inlineStr"/>
      <c r="T222" t="inlineStr">
        <is>
          <t>qualitative</t>
        </is>
      </c>
      <c r="U222" t="inlineStr"/>
      <c r="V222" t="inlineStr"/>
      <c r="W222" t="inlineStr">
        <is>
          <t>auto: Like many countries in the Global South, Sierra Leone has recently embarked on the biometric identification of its citizens and residents in the aim to achieve ‘legal identity for all’ (Sustainable Development Goal 16.9).</t>
        </is>
      </c>
      <c r="X222" t="inlineStr"/>
      <c r="Y222" t="inlineStr"/>
      <c r="Z222" t="inlineStr">
        <is>
          <t>high</t>
        </is>
      </c>
      <c r="AA222" t="inlineStr">
        <is>
          <t>B5:recent</t>
        </is>
      </c>
      <c r="AB222" t="inlineStr"/>
      <c r="AC222" t="n">
        <v>0</v>
      </c>
    </row>
    <row r="223">
      <c r="A223" t="inlineStr">
        <is>
          <t>LM00222</t>
        </is>
      </c>
      <c r="B223" t="inlineStr">
        <is>
          <t>Dreams of a Digital India: Imaginaries of the India Stack project</t>
        </is>
      </c>
      <c r="C223" t="n">
        <v>2024</v>
      </c>
      <c r="D223" t="inlineStr">
        <is>
          <t>Manasa Jagadeesh</t>
        </is>
      </c>
      <c r="E223" t="inlineStr"/>
      <c r="F223" t="inlineStr">
        <is>
          <t>dissertation</t>
        </is>
      </c>
      <c r="G223" t="inlineStr">
        <is>
          <t>10.7302/dspace/30226</t>
        </is>
      </c>
      <c r="H223" t="inlineStr">
        <is>
          <t>W7171831690</t>
        </is>
      </c>
      <c r="I223" t="inlineStr">
        <is>
          <t>https://doi.org/10.7302/dspace/30226</t>
        </is>
      </c>
      <c r="J223" t="inlineStr">
        <is>
          <t>https://doi.org/10.7302/dspace/30226</t>
        </is>
      </c>
      <c r="K223" t="n">
        <v>0</v>
      </c>
      <c r="L223" t="inlineStr">
        <is>
          <t>B</t>
        </is>
      </c>
      <c r="M223" t="inlineStr">
        <is>
          <t>B5</t>
        </is>
      </c>
      <c r="N223" t="inlineStr"/>
      <c r="O223" t="inlineStr">
        <is>
          <t>India</t>
        </is>
      </c>
      <c r="P223" t="inlineStr">
        <is>
          <t>South Asia</t>
        </is>
      </c>
      <c r="Q223" t="inlineStr">
        <is>
          <t>Y</t>
        </is>
      </c>
      <c r="R223" t="inlineStr"/>
      <c r="S223" t="inlineStr"/>
      <c r="T223" t="inlineStr">
        <is>
          <t>qualitative</t>
        </is>
      </c>
      <c r="U223" t="inlineStr"/>
      <c r="V223" t="inlineStr"/>
      <c r="W223" t="inlineStr">
        <is>
          <t>auto: We examine our interview data against the government’s promotion of the project to uncover ways in which experiences on the ground align or depart from the government’s promotion of the India Stack project.</t>
        </is>
      </c>
      <c r="X223" t="inlineStr"/>
      <c r="Y223" t="inlineStr"/>
      <c r="Z223" t="inlineStr">
        <is>
          <t>high</t>
        </is>
      </c>
      <c r="AA223" t="inlineStr">
        <is>
          <t>B5:recent</t>
        </is>
      </c>
      <c r="AB223" t="inlineStr"/>
    </row>
    <row r="224">
      <c r="A224" t="inlineStr">
        <is>
          <t>LM00223</t>
        </is>
      </c>
      <c r="B224" t="inlineStr">
        <is>
          <t>Digital Public Infrastructure and Economic Growth: A Case Study of UPI and DBT in India</t>
        </is>
      </c>
      <c r="C224" t="n">
        <v>2026</v>
      </c>
      <c r="D224" t="inlineStr">
        <is>
          <t>Udayakumara M</t>
        </is>
      </c>
      <c r="E224" t="inlineStr">
        <is>
          <t>International Journal For Multidisciplinary Research</t>
        </is>
      </c>
      <c r="F224" t="inlineStr">
        <is>
          <t>article</t>
        </is>
      </c>
      <c r="G224" t="inlineStr">
        <is>
          <t>10.36948/ijfmr.2026.v08i04.85486</t>
        </is>
      </c>
      <c r="H224" t="inlineStr">
        <is>
          <t>W7202163507</t>
        </is>
      </c>
      <c r="I224" t="inlineStr">
        <is>
          <t>https://doi.org/10.36948/ijfmr.2026.v08i04.85486</t>
        </is>
      </c>
      <c r="J224" t="inlineStr">
        <is>
          <t>https://www.ijfmr.com/papers/2026/4/85486.pdf</t>
        </is>
      </c>
      <c r="K224" t="n">
        <v>0</v>
      </c>
      <c r="L224" t="inlineStr">
        <is>
          <t>B</t>
        </is>
      </c>
      <c r="M224" t="inlineStr">
        <is>
          <t>B5</t>
        </is>
      </c>
      <c r="N224" t="inlineStr"/>
      <c r="O224" t="inlineStr">
        <is>
          <t>India</t>
        </is>
      </c>
      <c r="P224" t="inlineStr">
        <is>
          <t>South Asia</t>
        </is>
      </c>
      <c r="Q224" t="inlineStr">
        <is>
          <t>Y</t>
        </is>
      </c>
      <c r="R224" t="inlineStr"/>
      <c r="S224" t="inlineStr"/>
      <c r="T224" t="inlineStr">
        <is>
          <t>qualitative</t>
        </is>
      </c>
      <c r="U224" t="inlineStr"/>
      <c r="V224" t="inlineStr"/>
      <c r="W224" t="inlineStr">
        <is>
          <t>auto: This study examines the contribution of UPI and DBT as key pillars of India’s Digital Public Infrastructure and evaluates their role in promoting economic growth, financial inclusion, governance efficiency, and institutional transformation.</t>
        </is>
      </c>
      <c r="X224" t="inlineStr"/>
      <c r="Y224" t="inlineStr"/>
      <c r="Z224" t="inlineStr">
        <is>
          <t>high</t>
        </is>
      </c>
      <c r="AA224" t="inlineStr">
        <is>
          <t>B5:india; B5:recent</t>
        </is>
      </c>
      <c r="AB224" t="inlineStr"/>
      <c r="AC224" t="n">
        <v>0</v>
      </c>
    </row>
    <row r="225">
      <c r="A225" t="inlineStr">
        <is>
          <t>LM00224</t>
        </is>
      </c>
      <c r="B225" t="inlineStr">
        <is>
          <t>India's Digital Public Infrastructure (DPI) and Digital Sovereignty in the Global Political Economy</t>
        </is>
      </c>
      <c r="C225" t="n">
        <v>2025</v>
      </c>
      <c r="D225" t="inlineStr">
        <is>
          <t>Ajeet Kumar Sahoo; Ankit Anand</t>
        </is>
      </c>
      <c r="E225" t="inlineStr">
        <is>
          <t>Public Affairs And Governance</t>
        </is>
      </c>
      <c r="F225" t="inlineStr">
        <is>
          <t>article</t>
        </is>
      </c>
      <c r="G225" t="inlineStr">
        <is>
          <t>10.5958/2321-2136.2025.00008.6</t>
        </is>
      </c>
      <c r="H225" t="inlineStr">
        <is>
          <t>W7204131863</t>
        </is>
      </c>
      <c r="I225" t="inlineStr">
        <is>
          <t>https://doi.org/10.5958/2321-2136.2025.00008.6</t>
        </is>
      </c>
      <c r="J225" t="inlineStr"/>
      <c r="K225" t="n">
        <v>0</v>
      </c>
      <c r="L225" t="inlineStr">
        <is>
          <t>B</t>
        </is>
      </c>
      <c r="M225" t="inlineStr">
        <is>
          <t>B5</t>
        </is>
      </c>
      <c r="N225" t="inlineStr"/>
      <c r="O225" t="inlineStr">
        <is>
          <t>India</t>
        </is>
      </c>
      <c r="P225" t="inlineStr">
        <is>
          <t>South Asia</t>
        </is>
      </c>
      <c r="Q225" t="inlineStr">
        <is>
          <t>Y</t>
        </is>
      </c>
      <c r="R225" t="inlineStr"/>
      <c r="S225" t="inlineStr"/>
      <c r="T225" t="inlineStr">
        <is>
          <t>qualitative</t>
        </is>
      </c>
      <c r="U225" t="inlineStr"/>
      <c r="V225" t="inlineStr"/>
      <c r="W225" t="inlineStr">
        <is>
          <t>auto: This article examines DPI through debates on digital sovereignty and geoeconomics.</t>
        </is>
      </c>
      <c r="X225" t="inlineStr"/>
      <c r="Y225" t="inlineStr"/>
      <c r="Z225" t="inlineStr">
        <is>
          <t>high</t>
        </is>
      </c>
      <c r="AA225" t="inlineStr">
        <is>
          <t>B5:recent</t>
        </is>
      </c>
      <c r="AB225" t="inlineStr"/>
      <c r="AC225" t="n">
        <v>0</v>
      </c>
    </row>
    <row r="226">
      <c r="A226" t="inlineStr">
        <is>
          <t>LM00225</t>
        </is>
      </c>
      <c r="B226" t="inlineStr">
        <is>
          <t>Digital Public Infrastructure and Inclusive Digital Transformation in Indonesia: Insights from India Stack</t>
        </is>
      </c>
      <c r="C226" t="n">
        <v>2026</v>
      </c>
      <c r="D226" t="inlineStr">
        <is>
          <t>Ryan Achmad Arianto Ekasaputra</t>
        </is>
      </c>
      <c r="E226" t="inlineStr">
        <is>
          <t>Advances in economics, business and management research/Advances in Economics, Business and Management Research</t>
        </is>
      </c>
      <c r="F226" t="inlineStr">
        <is>
          <t>book-chapter</t>
        </is>
      </c>
      <c r="G226" t="inlineStr">
        <is>
          <t>10.2991/978-94-6239-754-5_20</t>
        </is>
      </c>
      <c r="H226" t="inlineStr">
        <is>
          <t>W7204933344</t>
        </is>
      </c>
      <c r="I226" t="inlineStr">
        <is>
          <t>https://doi.org/10.2991/978-94-6239-754-5_20</t>
        </is>
      </c>
      <c r="J226" t="inlineStr">
        <is>
          <t>https://doi.org/10.2991/978-94-6239-754-5_20</t>
        </is>
      </c>
      <c r="K226" t="n">
        <v>0</v>
      </c>
      <c r="L226" t="inlineStr">
        <is>
          <t>B</t>
        </is>
      </c>
      <c r="M226" t="inlineStr">
        <is>
          <t>B5</t>
        </is>
      </c>
      <c r="N226" t="inlineStr"/>
      <c r="O226" t="inlineStr">
        <is>
          <t>India; Indonesia</t>
        </is>
      </c>
      <c r="P226" t="inlineStr">
        <is>
          <t>Multi-region</t>
        </is>
      </c>
      <c r="Q226" t="inlineStr">
        <is>
          <t>Y</t>
        </is>
      </c>
      <c r="R226" t="inlineStr"/>
      <c r="S226" t="inlineStr"/>
      <c r="T226" t="inlineStr">
        <is>
          <t>unclear</t>
        </is>
      </c>
      <c r="U226" t="inlineStr"/>
      <c r="V226" t="inlineStr"/>
      <c r="W226" t="inlineStr"/>
      <c r="X226" t="inlineStr"/>
      <c r="Y226" t="inlineStr"/>
      <c r="Z226" t="inlineStr">
        <is>
          <t>low</t>
        </is>
      </c>
      <c r="AA226" t="inlineStr">
        <is>
          <t>B5:recent</t>
        </is>
      </c>
      <c r="AB226" t="inlineStr"/>
      <c r="AC226" t="n">
        <v>0</v>
      </c>
    </row>
    <row r="227">
      <c r="A227" t="inlineStr">
        <is>
          <t>LM00226</t>
        </is>
      </c>
      <c r="B227" t="inlineStr">
        <is>
          <t>Privacy vs protection : mapping crucial challenges in implementing the ICT4D agenda in Global South - Case analysis of India's Aadhaar program</t>
        </is>
      </c>
      <c r="C227" t="n">
        <v>2021</v>
      </c>
      <c r="D227" t="inlineStr">
        <is>
          <t>Aslesha Tummalapalli</t>
        </is>
      </c>
      <c r="E227" t="inlineStr">
        <is>
          <t>Open Research (Auckland University of Technology)</t>
        </is>
      </c>
      <c r="F227" t="inlineStr">
        <is>
          <t>dissertation</t>
        </is>
      </c>
      <c r="G227" t="inlineStr">
        <is>
          <t>10.60644/10085</t>
        </is>
      </c>
      <c r="H227" t="inlineStr">
        <is>
          <t>W7206209136</t>
        </is>
      </c>
      <c r="I227" t="inlineStr">
        <is>
          <t>https://doi.org/10.60644/10085</t>
        </is>
      </c>
      <c r="J227" t="inlineStr">
        <is>
          <t>https://doi.org/10.60644/10085</t>
        </is>
      </c>
      <c r="K227" t="n">
        <v>0</v>
      </c>
      <c r="L227" t="inlineStr">
        <is>
          <t>B</t>
        </is>
      </c>
      <c r="M227" t="inlineStr">
        <is>
          <t>B5</t>
        </is>
      </c>
      <c r="N227" t="inlineStr"/>
      <c r="O227" t="inlineStr">
        <is>
          <t>India; Milan</t>
        </is>
      </c>
      <c r="P227" t="inlineStr">
        <is>
          <t>Multi-region</t>
        </is>
      </c>
      <c r="Q227" t="inlineStr">
        <is>
          <t>Y</t>
        </is>
      </c>
      <c r="R227" t="inlineStr"/>
      <c r="S227" t="inlineStr"/>
      <c r="T227" t="inlineStr">
        <is>
          <t>conceptual</t>
        </is>
      </c>
      <c r="U227" t="inlineStr"/>
      <c r="V227" t="inlineStr"/>
      <c r="W227" t="inlineStr">
        <is>
          <t>auto: A rising number of Global South countries are investing in Information and Communication Technologies to streamline their social protection delivery systems despite a dearth of evidence supporting their effectiveness in non-western contexts.</t>
        </is>
      </c>
      <c r="X227" t="inlineStr">
        <is>
          <t>auto: To address this crucial gap, the current master’s thesis examines the impact of the ICT4D agenda on comprehensive social protection and privacy standards in Global South, through a case analysis of India’s enormous digital identification project, Aadhaar. | Additionally, the lack of composite privacy protection and accountability mechanisms led to aggravation of data injustice for the poor.</t>
        </is>
      </c>
      <c r="Y227" t="inlineStr"/>
      <c r="Z227" t="inlineStr">
        <is>
          <t>high</t>
        </is>
      </c>
      <c r="AA227" t="inlineStr">
        <is>
          <t>B5:india</t>
        </is>
      </c>
      <c r="AB227" t="inlineStr"/>
    </row>
    <row r="228">
      <c r="A228" t="inlineStr">
        <is>
          <t>LM00227</t>
        </is>
      </c>
      <c r="B228" t="inlineStr">
        <is>
          <t>Technochange and the historical bloc: Aadhaar and the computerisation of the Indian public distribution system</t>
        </is>
      </c>
      <c r="C228" t="n">
        <v>2015</v>
      </c>
      <c r="D228" t="inlineStr">
        <is>
          <t>Silvia Masiero</t>
        </is>
      </c>
      <c r="E228" t="inlineStr">
        <is>
          <t>London School of Economics and Political Science Research Online (London School of Economics and Political Science)</t>
        </is>
      </c>
      <c r="F228" t="inlineStr">
        <is>
          <t>conference-paper</t>
        </is>
      </c>
      <c r="G228" t="inlineStr"/>
      <c r="H228" t="inlineStr">
        <is>
          <t>W2263409961</t>
        </is>
      </c>
      <c r="I228" t="inlineStr">
        <is>
          <t>http://eprints.lse.ac.uk/63922/</t>
        </is>
      </c>
      <c r="J228" t="inlineStr"/>
      <c r="K228" t="n">
        <v>0</v>
      </c>
      <c r="L228" t="inlineStr">
        <is>
          <t>B</t>
        </is>
      </c>
      <c r="M228" t="inlineStr">
        <is>
          <t>B5</t>
        </is>
      </c>
      <c r="N228" t="inlineStr"/>
      <c r="O228" t="inlineStr">
        <is>
          <t>India</t>
        </is>
      </c>
      <c r="P228" t="inlineStr">
        <is>
          <t>South Asia</t>
        </is>
      </c>
      <c r="Q228" t="inlineStr">
        <is>
          <t>Y</t>
        </is>
      </c>
      <c r="R228" t="inlineStr"/>
      <c r="S228" t="inlineStr"/>
      <c r="T228" t="inlineStr">
        <is>
          <t>unclear</t>
        </is>
      </c>
      <c r="U228" t="inlineStr"/>
      <c r="V228" t="inlineStr"/>
      <c r="W228" t="inlineStr"/>
      <c r="X228" t="inlineStr"/>
      <c r="Y228" t="inlineStr"/>
      <c r="Z228" t="inlineStr">
        <is>
          <t>low</t>
        </is>
      </c>
      <c r="AA228" t="inlineStr">
        <is>
          <t>B5:india</t>
        </is>
      </c>
      <c r="AB228" t="inlineStr"/>
      <c r="AC228" t="n">
        <v>0</v>
      </c>
    </row>
    <row r="229">
      <c r="A229" t="inlineStr">
        <is>
          <t>LM00228</t>
        </is>
      </c>
      <c r="B229" t="inlineStr">
        <is>
          <t>India: Aadhaar Unmasked - The UID Number and Threat of exclusion, and of surveillance – South Asia Citizens Web</t>
        </is>
      </c>
      <c r="C229" t="n">
        <v>2020</v>
      </c>
      <c r="D229" t="inlineStr">
        <is>
          <t>Usha Ramanathan</t>
        </is>
      </c>
      <c r="E229" t="inlineStr"/>
      <c r="F229" t="inlineStr">
        <is>
          <t>article</t>
        </is>
      </c>
      <c r="G229" t="inlineStr"/>
      <c r="H229" t="inlineStr">
        <is>
          <t>W2899752787</t>
        </is>
      </c>
      <c r="I229" t="inlineStr">
        <is>
          <t>https://www.sacw.net/article4901.html</t>
        </is>
      </c>
      <c r="J229" t="inlineStr"/>
      <c r="K229" t="n">
        <v>0</v>
      </c>
      <c r="L229" t="inlineStr">
        <is>
          <t>B</t>
        </is>
      </c>
      <c r="M229" t="inlineStr">
        <is>
          <t>B5</t>
        </is>
      </c>
      <c r="N229" t="inlineStr"/>
      <c r="O229" t="inlineStr">
        <is>
          <t>India; South Asia</t>
        </is>
      </c>
      <c r="P229" t="inlineStr">
        <is>
          <t>South Asia</t>
        </is>
      </c>
      <c r="Q229" t="inlineStr">
        <is>
          <t>Y</t>
        </is>
      </c>
      <c r="R229" t="inlineStr"/>
      <c r="S229" t="inlineStr"/>
      <c r="T229" t="inlineStr">
        <is>
          <t>unclear</t>
        </is>
      </c>
      <c r="U229" t="inlineStr"/>
      <c r="V229" t="inlineStr"/>
      <c r="W229" t="inlineStr"/>
      <c r="X229" t="inlineStr"/>
      <c r="Y229" t="inlineStr"/>
      <c r="Z229" t="inlineStr">
        <is>
          <t>low</t>
        </is>
      </c>
      <c r="AA229" t="inlineStr">
        <is>
          <t>B5:india</t>
        </is>
      </c>
      <c r="AB229" t="inlineStr"/>
      <c r="AC229" t="n">
        <v>0</v>
      </c>
    </row>
    <row r="230">
      <c r="A230" t="inlineStr">
        <is>
          <t>LM00229</t>
        </is>
      </c>
      <c r="B230" t="inlineStr">
        <is>
          <t>Biometric Identification Systems for Welfare Distributions: A Case Study of Aadhaar</t>
        </is>
      </c>
      <c r="C230" t="n">
        <v>2020</v>
      </c>
      <c r="D230" t="inlineStr">
        <is>
          <t>Caroline Schauder</t>
        </is>
      </c>
      <c r="E230" t="inlineStr">
        <is>
          <t>DigitalGeorgetown (Georgetown University Library)</t>
        </is>
      </c>
      <c r="F230" t="inlineStr">
        <is>
          <t>dissertation</t>
        </is>
      </c>
      <c r="G230" t="inlineStr"/>
      <c r="H230" t="inlineStr">
        <is>
          <t>W3132295091</t>
        </is>
      </c>
      <c r="I230" t="inlineStr">
        <is>
          <t>http://hdl.handle.net/10822/1060624</t>
        </is>
      </c>
      <c r="J230" t="inlineStr">
        <is>
          <t>http://hdl.handle.net/10822/1060624</t>
        </is>
      </c>
      <c r="K230" t="n">
        <v>0</v>
      </c>
      <c r="L230" t="inlineStr">
        <is>
          <t>B</t>
        </is>
      </c>
      <c r="M230" t="inlineStr">
        <is>
          <t>B5</t>
        </is>
      </c>
      <c r="N230" t="inlineStr"/>
      <c r="O230" t="inlineStr">
        <is>
          <t>India; Mumbai</t>
        </is>
      </c>
      <c r="P230" t="inlineStr">
        <is>
          <t>South Asia</t>
        </is>
      </c>
      <c r="Q230" t="inlineStr">
        <is>
          <t>Y</t>
        </is>
      </c>
      <c r="R230" t="inlineStr"/>
      <c r="S230" t="inlineStr"/>
      <c r="T230" t="inlineStr">
        <is>
          <t>qualitative</t>
        </is>
      </c>
      <c r="U230" t="inlineStr"/>
      <c r="V230" t="inlineStr"/>
      <c r="W230" t="inlineStr">
        <is>
          <t>auto: This study seeks to understand how Mumbai’s urban poor perceive Aadhaar, specifically in regards to the distribution of Public Distribution System (PDS) services.</t>
        </is>
      </c>
      <c r="X230" t="inlineStr"/>
      <c r="Y230" t="inlineStr"/>
      <c r="Z230" t="inlineStr">
        <is>
          <t>high</t>
        </is>
      </c>
      <c r="AA230" t="inlineStr">
        <is>
          <t>B5:india</t>
        </is>
      </c>
      <c r="AB230" t="inlineStr"/>
    </row>
    <row r="231">
      <c r="A231" t="inlineStr">
        <is>
          <t>LM00230</t>
        </is>
      </c>
      <c r="B231" t="inlineStr">
        <is>
          <t>Institutional and Technology Architecture Interplay in the National Identity System of India (Aadhaar) and Implications for an Effective Privacy Regime</t>
        </is>
      </c>
      <c r="C231" t="n">
        <v>2018</v>
      </c>
      <c r="D231" t="inlineStr">
        <is>
          <t>Rekha Jain</t>
        </is>
      </c>
      <c r="E231" t="inlineStr">
        <is>
          <t>SSRN Electronic Journal</t>
        </is>
      </c>
      <c r="F231" t="inlineStr">
        <is>
          <t>preprint</t>
        </is>
      </c>
      <c r="G231" t="inlineStr"/>
      <c r="H231" t="inlineStr">
        <is>
          <t>W3191631685</t>
        </is>
      </c>
      <c r="I231" t="inlineStr">
        <is>
          <t>https://papers.ssrn.com/sol3/papers.cfm?abstract_id=3142075</t>
        </is>
      </c>
      <c r="J231" t="inlineStr">
        <is>
          <t>https://papers.ssrn.com/sol3/papers.cfm?abstract_id=3142075</t>
        </is>
      </c>
      <c r="K231" t="n">
        <v>0</v>
      </c>
      <c r="L231" t="inlineStr">
        <is>
          <t>B</t>
        </is>
      </c>
      <c r="M231" t="inlineStr">
        <is>
          <t>B5</t>
        </is>
      </c>
      <c r="N231" t="inlineStr"/>
      <c r="O231" t="inlineStr">
        <is>
          <t>India</t>
        </is>
      </c>
      <c r="P231" t="inlineStr">
        <is>
          <t>South Asia</t>
        </is>
      </c>
      <c r="Q231" t="inlineStr">
        <is>
          <t>Y</t>
        </is>
      </c>
      <c r="R231" t="inlineStr"/>
      <c r="S231" t="inlineStr"/>
      <c r="T231" t="inlineStr">
        <is>
          <t>qualitative</t>
        </is>
      </c>
      <c r="U231" t="inlineStr"/>
      <c r="V231" t="inlineStr"/>
      <c r="W231" t="inlineStr">
        <is>
          <t>auto: We hope that the learning from this research would contribute to the policy regarding privacy in Aadhaar.</t>
        </is>
      </c>
      <c r="X231" t="inlineStr"/>
      <c r="Y231" t="inlineStr"/>
      <c r="Z231" t="inlineStr">
        <is>
          <t>high</t>
        </is>
      </c>
      <c r="AA231" t="inlineStr">
        <is>
          <t>B5:india</t>
        </is>
      </c>
      <c r="AB231" t="inlineStr"/>
    </row>
    <row r="232">
      <c r="A232" t="inlineStr">
        <is>
          <t>LM00231</t>
        </is>
      </c>
      <c r="B232" t="inlineStr">
        <is>
          <t>Integrating Biometric Authentication in India's Welfare Programs: Lessons from a Decade of Reforms</t>
        </is>
      </c>
      <c r="D232" t="inlineStr">
        <is>
          <t>Sandip Sukhtankar; Paul Niehaus; Karthik Muralidharan</t>
        </is>
      </c>
      <c r="E232" t="inlineStr">
        <is>
          <t>RePEc: Research Papers in Economics</t>
        </is>
      </c>
      <c r="F232" t="inlineStr">
        <is>
          <t>article</t>
        </is>
      </c>
      <c r="G232" t="inlineStr"/>
      <c r="H232" t="inlineStr">
        <is>
          <t>W7110600304</t>
        </is>
      </c>
      <c r="I232" t="inlineStr">
        <is>
          <t>https://www.ncaer.org/image/userfiles/file/IPF2021/IPF2021Paper4.pdf</t>
        </is>
      </c>
      <c r="J232" t="inlineStr"/>
      <c r="K232" t="n">
        <v>0</v>
      </c>
      <c r="L232" t="inlineStr">
        <is>
          <t>B</t>
        </is>
      </c>
      <c r="M232" t="inlineStr">
        <is>
          <t>B5</t>
        </is>
      </c>
      <c r="N232" t="inlineStr"/>
      <c r="O232" t="inlineStr">
        <is>
          <t>India</t>
        </is>
      </c>
      <c r="P232" t="inlineStr">
        <is>
          <t>South Asia</t>
        </is>
      </c>
      <c r="Q232" t="inlineStr">
        <is>
          <t>Y</t>
        </is>
      </c>
      <c r="R232" t="inlineStr"/>
      <c r="S232" t="inlineStr"/>
      <c r="T232" t="inlineStr">
        <is>
          <t>unclear</t>
        </is>
      </c>
      <c r="U232" t="inlineStr"/>
      <c r="V232" t="inlineStr"/>
      <c r="W232" t="inlineStr">
        <is>
          <t>auto: India’s biometric unique ID Aadhaar has been at the forefront of the global revolution in digital identification, and India’s most significant investment in state capacity over the past decade.</t>
        </is>
      </c>
      <c r="X232" t="inlineStr"/>
      <c r="Y232" t="inlineStr"/>
      <c r="Z232" t="inlineStr">
        <is>
          <t>high</t>
        </is>
      </c>
      <c r="AA232" t="inlineStr">
        <is>
          <t>B5:india</t>
        </is>
      </c>
      <c r="AB232" t="inlineStr"/>
    </row>
    <row r="233">
      <c r="A233" t="inlineStr">
        <is>
          <t>LM00232</t>
        </is>
      </c>
      <c r="B233" t="inlineStr">
        <is>
          <t>What India's Digital Public Infrastructure does Not Yet do: A Comparative Policy Review of Missing Governance Layers</t>
        </is>
      </c>
      <c r="C233" t="n">
        <v>2026</v>
      </c>
      <c r="D233" t="inlineStr">
        <is>
          <t>Tanika Singh</t>
        </is>
      </c>
      <c r="E233" t="inlineStr">
        <is>
          <t>SSRN Electronic Journal</t>
        </is>
      </c>
      <c r="F233" t="inlineStr">
        <is>
          <t>preprint</t>
        </is>
      </c>
      <c r="G233" t="inlineStr">
        <is>
          <t>10.2139/ssrn.6034114</t>
        </is>
      </c>
      <c r="H233" t="inlineStr">
        <is>
          <t>W7125971017</t>
        </is>
      </c>
      <c r="I233" t="inlineStr">
        <is>
          <t>https://doi.org/10.2139/ssrn.6034114</t>
        </is>
      </c>
      <c r="J233" t="inlineStr">
        <is>
          <t>https://doi.org/10.2139/ssrn.6034114</t>
        </is>
      </c>
      <c r="K233" t="n">
        <v>0</v>
      </c>
      <c r="L233" t="inlineStr">
        <is>
          <t>B</t>
        </is>
      </c>
      <c r="M233" t="inlineStr">
        <is>
          <t>B5</t>
        </is>
      </c>
      <c r="N233" t="inlineStr"/>
      <c r="O233" t="inlineStr">
        <is>
          <t>India</t>
        </is>
      </c>
      <c r="P233" t="inlineStr">
        <is>
          <t>South Asia</t>
        </is>
      </c>
      <c r="Q233" t="inlineStr">
        <is>
          <t>Y</t>
        </is>
      </c>
      <c r="R233" t="inlineStr"/>
      <c r="S233" t="inlineStr"/>
      <c r="T233" t="inlineStr">
        <is>
          <t>unclear</t>
        </is>
      </c>
      <c r="U233" t="inlineStr"/>
      <c r="V233" t="inlineStr"/>
      <c r="W233" t="inlineStr"/>
      <c r="X233" t="inlineStr"/>
      <c r="Y233" t="inlineStr"/>
      <c r="Z233" t="inlineStr">
        <is>
          <t>low</t>
        </is>
      </c>
      <c r="AA233" t="inlineStr">
        <is>
          <t>B5:india; B5:recent</t>
        </is>
      </c>
      <c r="AB233" t="inlineStr"/>
    </row>
    <row r="234">
      <c r="A234" t="inlineStr">
        <is>
          <t>LM00233</t>
        </is>
      </c>
      <c r="B234" t="inlineStr">
        <is>
          <t>Biopolitical Technologies of Control: Aadhaar, NRC, and the Redefinition of Citizenship and State Power in Contemporary India</t>
        </is>
      </c>
      <c r="C234" t="n">
        <v>2026</v>
      </c>
      <c r="D234" t="inlineStr">
        <is>
          <t>Sahil Mahmud</t>
        </is>
      </c>
      <c r="E234" t="inlineStr">
        <is>
          <t>SSRN Electronic Journal</t>
        </is>
      </c>
      <c r="F234" t="inlineStr">
        <is>
          <t>preprint</t>
        </is>
      </c>
      <c r="G234" t="inlineStr">
        <is>
          <t>10.2139/ssrn.6288298</t>
        </is>
      </c>
      <c r="H234" t="inlineStr">
        <is>
          <t>W7154405996</t>
        </is>
      </c>
      <c r="I234" t="inlineStr">
        <is>
          <t>https://doi.org/10.2139/ssrn.6288298</t>
        </is>
      </c>
      <c r="J234" t="inlineStr">
        <is>
          <t>https://doi.org/10.2139/ssrn.6288298</t>
        </is>
      </c>
      <c r="K234" t="n">
        <v>0</v>
      </c>
      <c r="L234" t="inlineStr">
        <is>
          <t>B</t>
        </is>
      </c>
      <c r="M234" t="inlineStr">
        <is>
          <t>B5</t>
        </is>
      </c>
      <c r="N234" t="inlineStr"/>
      <c r="O234" t="inlineStr">
        <is>
          <t>India</t>
        </is>
      </c>
      <c r="P234" t="inlineStr">
        <is>
          <t>South Asia</t>
        </is>
      </c>
      <c r="Q234" t="inlineStr">
        <is>
          <t>Y</t>
        </is>
      </c>
      <c r="R234" t="inlineStr"/>
      <c r="S234" t="inlineStr"/>
      <c r="T234" t="inlineStr">
        <is>
          <t>unclear</t>
        </is>
      </c>
      <c r="U234" t="inlineStr"/>
      <c r="V234" t="inlineStr"/>
      <c r="W234" t="inlineStr"/>
      <c r="X234" t="inlineStr"/>
      <c r="Y234" t="inlineStr"/>
      <c r="Z234" t="inlineStr">
        <is>
          <t>low</t>
        </is>
      </c>
      <c r="AA234" t="inlineStr">
        <is>
          <t>B5:india; B5:recent</t>
        </is>
      </c>
      <c r="AB234" t="inlineStr"/>
    </row>
    <row r="235">
      <c r="A235" t="inlineStr">
        <is>
          <t>LM00234</t>
        </is>
      </c>
      <c r="B235" t="inlineStr">
        <is>
          <t>Administrative Reach and State Capacity: Interoperability Failures in Nigeria's Digital Identification Infrastructure</t>
        </is>
      </c>
      <c r="C235" t="n">
        <v>2026</v>
      </c>
      <c r="D235" t="inlineStr">
        <is>
          <t>Daramola Joseph Omoyele</t>
        </is>
      </c>
      <c r="E235" t="inlineStr">
        <is>
          <t>SSRN Electronic Journal</t>
        </is>
      </c>
      <c r="F235" t="inlineStr">
        <is>
          <t>preprint</t>
        </is>
      </c>
      <c r="G235" t="inlineStr">
        <is>
          <t>10.2139/ssrn.6361358</t>
        </is>
      </c>
      <c r="H235" t="inlineStr">
        <is>
          <t>W7155007188</t>
        </is>
      </c>
      <c r="I235" t="inlineStr">
        <is>
          <t>https://doi.org/10.2139/ssrn.6361358</t>
        </is>
      </c>
      <c r="J235" t="inlineStr">
        <is>
          <t>https://doi.org/10.2139/ssrn.6361358</t>
        </is>
      </c>
      <c r="K235" t="n">
        <v>0</v>
      </c>
      <c r="L235" t="inlineStr">
        <is>
          <t>B</t>
        </is>
      </c>
      <c r="M235" t="inlineStr">
        <is>
          <t>B5</t>
        </is>
      </c>
      <c r="N235" t="inlineStr"/>
      <c r="O235" t="inlineStr">
        <is>
          <t>Nigeria</t>
        </is>
      </c>
      <c r="P235" t="inlineStr">
        <is>
          <t>Africa</t>
        </is>
      </c>
      <c r="Q235" t="inlineStr"/>
      <c r="R235" t="inlineStr"/>
      <c r="S235" t="inlineStr"/>
      <c r="T235" t="inlineStr">
        <is>
          <t>unclear</t>
        </is>
      </c>
      <c r="U235" t="inlineStr"/>
      <c r="V235" t="inlineStr"/>
      <c r="W235" t="inlineStr"/>
      <c r="X235" t="inlineStr"/>
      <c r="Y235" t="inlineStr"/>
      <c r="Z235" t="inlineStr">
        <is>
          <t>low</t>
        </is>
      </c>
      <c r="AA235" t="inlineStr">
        <is>
          <t>B5:recent</t>
        </is>
      </c>
      <c r="AB235" t="inlineStr"/>
    </row>
    <row r="236">
      <c r="A236" t="inlineStr">
        <is>
          <t>LM00235</t>
        </is>
      </c>
      <c r="B236" t="inlineStr">
        <is>
          <t>Legal Identity or Digital Control? National Digital ID Systems, Exclusion, and Digital Authoritarian Practices in Uganda</t>
        </is>
      </c>
      <c r="C236" t="n">
        <v>2026</v>
      </c>
      <c r="D236" t="inlineStr">
        <is>
          <t>Olila Steven</t>
        </is>
      </c>
      <c r="E236" t="inlineStr">
        <is>
          <t>SSRN Electronic Journal</t>
        </is>
      </c>
      <c r="F236" t="inlineStr">
        <is>
          <t>preprint</t>
        </is>
      </c>
      <c r="G236" t="inlineStr">
        <is>
          <t>10.2139/ssrn.6509718</t>
        </is>
      </c>
      <c r="H236" t="inlineStr">
        <is>
          <t>W7155009575</t>
        </is>
      </c>
      <c r="I236" t="inlineStr">
        <is>
          <t>https://doi.org/10.2139/ssrn.6509718</t>
        </is>
      </c>
      <c r="J236" t="inlineStr">
        <is>
          <t>https://doi.org/10.2139/ssrn.6509718</t>
        </is>
      </c>
      <c r="K236" t="n">
        <v>0</v>
      </c>
      <c r="L236" t="inlineStr">
        <is>
          <t>B</t>
        </is>
      </c>
      <c r="M236" t="inlineStr">
        <is>
          <t>B5</t>
        </is>
      </c>
      <c r="N236" t="inlineStr"/>
      <c r="O236" t="inlineStr">
        <is>
          <t>Uganda</t>
        </is>
      </c>
      <c r="P236" t="inlineStr">
        <is>
          <t>Africa</t>
        </is>
      </c>
      <c r="Q236" t="inlineStr"/>
      <c r="R236" t="inlineStr"/>
      <c r="S236" t="inlineStr"/>
      <c r="T236" t="inlineStr">
        <is>
          <t>unclear</t>
        </is>
      </c>
      <c r="U236" t="inlineStr"/>
      <c r="V236" t="inlineStr"/>
      <c r="W236" t="inlineStr"/>
      <c r="X236" t="inlineStr"/>
      <c r="Y236" t="inlineStr"/>
      <c r="Z236" t="inlineStr">
        <is>
          <t>low</t>
        </is>
      </c>
      <c r="AA236" t="inlineStr">
        <is>
          <t>B5:recent</t>
        </is>
      </c>
      <c r="AB236" t="inlineStr"/>
    </row>
    <row r="237">
      <c r="A237" t="inlineStr">
        <is>
          <t>LM00236</t>
        </is>
      </c>
      <c r="B237" t="inlineStr">
        <is>
          <t>Biometrics and Surveillance as a Tool of Tracing Citizenship</t>
        </is>
      </c>
      <c r="C237" t="n">
        <v>2026</v>
      </c>
      <c r="D237" t="inlineStr">
        <is>
          <t>Himanshu Sikarwar</t>
        </is>
      </c>
      <c r="E237" t="inlineStr">
        <is>
          <t>Zenodo (CERN European Organization for Nuclear Research)</t>
        </is>
      </c>
      <c r="F237" t="inlineStr">
        <is>
          <t>article</t>
        </is>
      </c>
      <c r="G237" t="inlineStr">
        <is>
          <t>10.5281/zenodo.19879490</t>
        </is>
      </c>
      <c r="H237" t="inlineStr">
        <is>
          <t>W7157549018</t>
        </is>
      </c>
      <c r="I237" t="inlineStr">
        <is>
          <t>https://doi.org/10.5281/zenodo.19879490</t>
        </is>
      </c>
      <c r="J237" t="inlineStr">
        <is>
          <t>https://doi.org/10.5281/zenodo.19879490</t>
        </is>
      </c>
      <c r="K237" t="n">
        <v>0</v>
      </c>
      <c r="L237" t="inlineStr">
        <is>
          <t>B</t>
        </is>
      </c>
      <c r="M237" t="inlineStr">
        <is>
          <t>B5</t>
        </is>
      </c>
      <c r="N237" t="inlineStr"/>
      <c r="O237" t="inlineStr"/>
      <c r="P237" t="inlineStr">
        <is>
          <t>Not place-specific</t>
        </is>
      </c>
      <c r="Q237" t="inlineStr"/>
      <c r="R237" t="inlineStr"/>
      <c r="S237" t="inlineStr"/>
      <c r="T237" t="inlineStr">
        <is>
          <t>conceptual</t>
        </is>
      </c>
      <c r="U237" t="inlineStr"/>
      <c r="V237" t="inlineStr"/>
      <c r="W237" t="inlineStr">
        <is>
          <t>auto: The Article examines the transformation of the concept of citizenship from a socio-political identity which is rights based into a bio-tech identity which is now being controlled and regulated by the state.</t>
        </is>
      </c>
      <c r="X237" t="inlineStr"/>
      <c r="Y237" t="inlineStr"/>
      <c r="Z237" t="inlineStr">
        <is>
          <t>high</t>
        </is>
      </c>
      <c r="AA237" t="inlineStr">
        <is>
          <t>B5:recent</t>
        </is>
      </c>
      <c r="AB237" t="inlineStr"/>
      <c r="AC237" t="n">
        <v>0</v>
      </c>
    </row>
    <row r="238">
      <c r="A238" t="inlineStr">
        <is>
          <t>LM00237</t>
        </is>
      </c>
      <c r="B238" t="inlineStr">
        <is>
          <t>Digital Identity, Conditional Access, and Human Dignity: A Christian Policy Analysis of Biometric Governance, Surveillance Infrastructure, and Data Justice</t>
        </is>
      </c>
      <c r="C238" t="n">
        <v>2026</v>
      </c>
      <c r="D238" t="inlineStr">
        <is>
          <t>Sixbert Sangwa</t>
        </is>
      </c>
      <c r="E238" t="inlineStr">
        <is>
          <t>Zenodo (CERN European Organization for Nuclear Research)</t>
        </is>
      </c>
      <c r="F238" t="inlineStr">
        <is>
          <t>article</t>
        </is>
      </c>
      <c r="G238" t="inlineStr">
        <is>
          <t>10.5281/zenodo.19976345</t>
        </is>
      </c>
      <c r="H238" t="inlineStr">
        <is>
          <t>W7159773702</t>
        </is>
      </c>
      <c r="I238" t="inlineStr">
        <is>
          <t>https://doi.org/10.5281/zenodo.19976345</t>
        </is>
      </c>
      <c r="J238" t="inlineStr">
        <is>
          <t>https://doi.org/10.5281/zenodo.19976345</t>
        </is>
      </c>
      <c r="K238" t="n">
        <v>0</v>
      </c>
      <c r="L238" t="inlineStr">
        <is>
          <t>B</t>
        </is>
      </c>
      <c r="M238" t="inlineStr">
        <is>
          <t>B5</t>
        </is>
      </c>
      <c r="N238" t="inlineStr"/>
      <c r="O238" t="inlineStr"/>
      <c r="P238" t="inlineStr">
        <is>
          <t>Not place-specific</t>
        </is>
      </c>
      <c r="Q238" t="inlineStr"/>
      <c r="R238" t="inlineStr"/>
      <c r="S238" t="inlineStr"/>
      <c r="T238" t="inlineStr">
        <is>
          <t>mixed</t>
        </is>
      </c>
      <c r="U238" t="inlineStr"/>
      <c r="V238" t="inlineStr"/>
      <c r="W238" t="inlineStr">
        <is>
          <t>auto: Aim: This article develops a Christian social-epistemological and policy analysis of emerging digital identity infrastructures, examining them neither as neutral administrative tools nor as automatically apocalyptic technologies, but as socio-technical systems with documented benefits, risks, mec…</t>
        </is>
      </c>
      <c r="X238" t="inlineStr">
        <is>
          <t>auto: Findings: The analysis shows that digital identity can support recognition, welfare access, portability, financial inclusion, and rights protection, especially where persons lack official proof of identity.</t>
        </is>
      </c>
      <c r="Y238" t="inlineStr"/>
      <c r="Z238" t="inlineStr">
        <is>
          <t>high</t>
        </is>
      </c>
      <c r="AA238" t="inlineStr">
        <is>
          <t>B5:recent</t>
        </is>
      </c>
      <c r="AB238" t="inlineStr"/>
      <c r="AC238" t="n">
        <v>0</v>
      </c>
    </row>
    <row r="239">
      <c r="A239" t="inlineStr">
        <is>
          <t>LM00238</t>
        </is>
      </c>
      <c r="B239" t="inlineStr">
        <is>
          <t>Digital Public Infrastructure and Economic Stability in India: Evidence from UPI, Aadhaar and Direct Benefit Transfers</t>
        </is>
      </c>
      <c r="C239" t="n">
        <v>2026</v>
      </c>
      <c r="D239" t="inlineStr">
        <is>
          <t>Dr. Sejal B Patel</t>
        </is>
      </c>
      <c r="E239" t="inlineStr">
        <is>
          <t>Zenodo (CERN European Organization for Nuclear Research)</t>
        </is>
      </c>
      <c r="F239" t="inlineStr">
        <is>
          <t>article</t>
        </is>
      </c>
      <c r="G239" t="inlineStr">
        <is>
          <t>10.5281/zenodo.20410068</t>
        </is>
      </c>
      <c r="H239" t="inlineStr">
        <is>
          <t>W7162573878</t>
        </is>
      </c>
      <c r="I239" t="inlineStr">
        <is>
          <t>https://doi.org/10.5281/zenodo.20410068</t>
        </is>
      </c>
      <c r="J239" t="inlineStr">
        <is>
          <t>https://doi.org/10.5281/zenodo.20410068</t>
        </is>
      </c>
      <c r="K239" t="n">
        <v>0</v>
      </c>
      <c r="L239" t="inlineStr">
        <is>
          <t>B</t>
        </is>
      </c>
      <c r="M239" t="inlineStr">
        <is>
          <t>B5</t>
        </is>
      </c>
      <c r="N239" t="inlineStr"/>
      <c r="O239" t="inlineStr">
        <is>
          <t>Gujarat; India</t>
        </is>
      </c>
      <c r="P239" t="inlineStr">
        <is>
          <t>South Asia</t>
        </is>
      </c>
      <c r="Q239" t="inlineStr">
        <is>
          <t>Y</t>
        </is>
      </c>
      <c r="R239" t="inlineStr"/>
      <c r="S239" t="inlineStr"/>
      <c r="T239" t="inlineStr">
        <is>
          <t>quantitative</t>
        </is>
      </c>
      <c r="U239" t="inlineStr"/>
      <c r="V239" t="inlineStr"/>
      <c r="W239" t="inlineStr">
        <is>
          <t>auto: This study examines the role of Digital Public Infrastructure in strengthening economic stability in India, using primary and secondary evidence from Bharuch district in Gujarat.</t>
        </is>
      </c>
      <c r="X239" t="inlineStr">
        <is>
          <t>auto: However, the benefits of DPI are uneven, with semi-urban areas experiencing constraints due to infrastructure limitations and digital literacy gaps.</t>
        </is>
      </c>
      <c r="Y239" t="inlineStr"/>
      <c r="Z239" t="inlineStr">
        <is>
          <t>high</t>
        </is>
      </c>
      <c r="AA239" t="inlineStr">
        <is>
          <t>B5:india</t>
        </is>
      </c>
      <c r="AB239" t="inlineStr"/>
      <c r="AC239" t="n">
        <v>0</v>
      </c>
    </row>
    <row r="240">
      <c r="A240" t="inlineStr">
        <is>
          <t>LM00239</t>
        </is>
      </c>
      <c r="B240" t="inlineStr">
        <is>
          <t>The Legal Status of Digital Identity in India: Aadhaar, Digital Citizenship, and the Future of Governance</t>
        </is>
      </c>
      <c r="C240" t="n">
        <v>2026</v>
      </c>
      <c r="D240" t="inlineStr">
        <is>
          <t>Mr. Subham Chatterjee</t>
        </is>
      </c>
      <c r="E240" t="inlineStr">
        <is>
          <t>Zenodo (CERN European Organization for Nuclear Research)</t>
        </is>
      </c>
      <c r="F240" t="inlineStr">
        <is>
          <t>book-chapter</t>
        </is>
      </c>
      <c r="G240" t="inlineStr">
        <is>
          <t>10.5281/zenodo.20667022</t>
        </is>
      </c>
      <c r="H240" t="inlineStr">
        <is>
          <t>W7164587177</t>
        </is>
      </c>
      <c r="I240" t="inlineStr">
        <is>
          <t>https://doi.org/10.5281/zenodo.20667022</t>
        </is>
      </c>
      <c r="J240" t="inlineStr">
        <is>
          <t>https://doi.org/10.5281/zenodo.20667022</t>
        </is>
      </c>
      <c r="K240" t="n">
        <v>0</v>
      </c>
      <c r="L240" t="inlineStr">
        <is>
          <t>B</t>
        </is>
      </c>
      <c r="M240" t="inlineStr">
        <is>
          <t>B5</t>
        </is>
      </c>
      <c r="N240" t="inlineStr"/>
      <c r="O240" t="inlineStr">
        <is>
          <t>India</t>
        </is>
      </c>
      <c r="P240" t="inlineStr">
        <is>
          <t>South Asia</t>
        </is>
      </c>
      <c r="Q240" t="inlineStr">
        <is>
          <t>Y</t>
        </is>
      </c>
      <c r="R240" t="inlineStr"/>
      <c r="S240" t="inlineStr"/>
      <c r="T240" t="inlineStr">
        <is>
          <t>conceptual</t>
        </is>
      </c>
      <c r="U240" t="inlineStr"/>
      <c r="V240" t="inlineStr"/>
      <c r="W240" t="inlineStr">
        <is>
          <t>auto: This article critically examines the legal status of digital identity in India through the lens of Aadhaar, constitutional jurisprudence, data protection law, and governance reforms.</t>
        </is>
      </c>
      <c r="X240" t="inlineStr"/>
      <c r="Y240" t="inlineStr"/>
      <c r="Z240" t="inlineStr">
        <is>
          <t>high</t>
        </is>
      </c>
      <c r="AA240" t="inlineStr">
        <is>
          <t>B5:india; B5:recent</t>
        </is>
      </c>
      <c r="AB240" t="inlineStr">
        <is>
          <t>W7164596685; W7164888938</t>
        </is>
      </c>
      <c r="AC240" t="n">
        <v>0</v>
      </c>
    </row>
    <row r="241">
      <c r="A241" t="inlineStr">
        <is>
          <t>LM00240</t>
        </is>
      </c>
      <c r="B241" t="inlineStr">
        <is>
          <t>From Identification to Infrastructure: Digital Identity, Sector Transgressions, and the Governance of Access to Services in Uganda</t>
        </is>
      </c>
      <c r="C241" t="n">
        <v>2026</v>
      </c>
      <c r="D241" t="inlineStr">
        <is>
          <t>Olila Steven</t>
        </is>
      </c>
      <c r="E241" t="inlineStr">
        <is>
          <t>SSRN Electronic Journal</t>
        </is>
      </c>
      <c r="F241" t="inlineStr">
        <is>
          <t>preprint</t>
        </is>
      </c>
      <c r="G241" t="inlineStr">
        <is>
          <t>10.2139/ssrn.6932679</t>
        </is>
      </c>
      <c r="H241" t="inlineStr">
        <is>
          <t>W7167787818</t>
        </is>
      </c>
      <c r="I241" t="inlineStr">
        <is>
          <t>https://doi.org/10.2139/ssrn.6932679</t>
        </is>
      </c>
      <c r="J241" t="inlineStr">
        <is>
          <t>https://doi.org/10.2139/ssrn.6932679</t>
        </is>
      </c>
      <c r="K241" t="n">
        <v>0</v>
      </c>
      <c r="L241" t="inlineStr">
        <is>
          <t>B</t>
        </is>
      </c>
      <c r="M241" t="inlineStr">
        <is>
          <t>B5</t>
        </is>
      </c>
      <c r="N241" t="inlineStr"/>
      <c r="O241" t="inlineStr">
        <is>
          <t>Uganda</t>
        </is>
      </c>
      <c r="P241" t="inlineStr">
        <is>
          <t>Africa</t>
        </is>
      </c>
      <c r="Q241" t="inlineStr"/>
      <c r="R241" t="inlineStr"/>
      <c r="S241" t="inlineStr"/>
      <c r="T241" t="inlineStr">
        <is>
          <t>unclear</t>
        </is>
      </c>
      <c r="U241" t="inlineStr"/>
      <c r="V241" t="inlineStr"/>
      <c r="W241" t="inlineStr"/>
      <c r="X241" t="inlineStr"/>
      <c r="Y241" t="inlineStr"/>
      <c r="Z241" t="inlineStr">
        <is>
          <t>low</t>
        </is>
      </c>
      <c r="AA241" t="inlineStr">
        <is>
          <t>B5:recent</t>
        </is>
      </c>
      <c r="AB241" t="inlineStr"/>
    </row>
    <row r="242">
      <c r="A242" t="inlineStr">
        <is>
          <t>LM00241</t>
        </is>
      </c>
      <c r="B242" t="inlineStr">
        <is>
          <t>India Stack as Digital Public Infrastructure: A Strategic and Empirical Analysis of Financial Inclusion</t>
        </is>
      </c>
      <c r="C242" t="n">
        <v>2026</v>
      </c>
      <c r="D242" t="inlineStr">
        <is>
          <t>Mallikarjun Dalal</t>
        </is>
      </c>
      <c r="E242" t="inlineStr">
        <is>
          <t>Zenodo (CERN European Organization for Nuclear Research)</t>
        </is>
      </c>
      <c r="F242" t="inlineStr">
        <is>
          <t>article</t>
        </is>
      </c>
      <c r="G242" t="inlineStr">
        <is>
          <t>10.5281/zenodo.21288912</t>
        </is>
      </c>
      <c r="H242" t="inlineStr">
        <is>
          <t>W7167943279</t>
        </is>
      </c>
      <c r="I242" t="inlineStr">
        <is>
          <t>https://doi.org/10.5281/zenodo.21288912</t>
        </is>
      </c>
      <c r="J242" t="inlineStr">
        <is>
          <t>https://doi.org/10.5281/zenodo.21288912</t>
        </is>
      </c>
      <c r="K242" t="n">
        <v>0</v>
      </c>
      <c r="L242" t="inlineStr">
        <is>
          <t>B</t>
        </is>
      </c>
      <c r="M242" t="inlineStr">
        <is>
          <t>B5</t>
        </is>
      </c>
      <c r="N242" t="inlineStr"/>
      <c r="O242" t="inlineStr">
        <is>
          <t>Brazil; Ghana; India</t>
        </is>
      </c>
      <c r="P242" t="inlineStr">
        <is>
          <t>Multi-region</t>
        </is>
      </c>
      <c r="Q242" t="inlineStr">
        <is>
          <t>Y</t>
        </is>
      </c>
      <c r="R242" t="inlineStr"/>
      <c r="S242" t="inlineStr"/>
      <c r="T242" t="inlineStr">
        <is>
          <t>mixed</t>
        </is>
      </c>
      <c r="U242" t="inlineStr"/>
      <c r="V242" t="inlineStr"/>
      <c r="W242" t="inlineStr">
        <is>
          <t>auto: Despite its scale and policy salience, the academic literature on India Stack as an integrated DPI system remains fragmented, with most scholarship focusing on individual components rather than the architecture as a whole.This paper addresses that gap through a mixed-methods investigation combini…</t>
        </is>
      </c>
      <c r="X242" t="inlineStr">
        <is>
          <t>auto: Despite its scale and policy salience, the academic literature on India Stack as an integrated DPI system remains fragmented, with most scholarship focusing on individual components rather than the architecture as a whole.This paper addresses that gap through a mixed-methods investigation combining quantitative panel data analysis with qualitative policy mapping. | Critically, these effects are largest among previously excluded populations, particularly rural women and low-income households, …</t>
        </is>
      </c>
      <c r="Y242" t="inlineStr"/>
      <c r="Z242" t="inlineStr">
        <is>
          <t>high</t>
        </is>
      </c>
      <c r="AA242" t="inlineStr">
        <is>
          <t>B5:india; B5:recent</t>
        </is>
      </c>
      <c r="AB242" t="inlineStr"/>
      <c r="AC242" t="n">
        <v>0</v>
      </c>
    </row>
    <row r="243">
      <c r="A243" t="inlineStr">
        <is>
          <t>LM00242</t>
        </is>
      </c>
      <c r="B243" t="inlineStr">
        <is>
          <t>Closing the Last Mile: Building Accountability into AI Driven Public Service Delivery What India's Digital Public Infrastructure Can Teach the Global South</t>
        </is>
      </c>
      <c r="C243" t="n">
        <v>2026</v>
      </c>
      <c r="D243" t="inlineStr">
        <is>
          <t>Sach Mehan</t>
        </is>
      </c>
      <c r="E243" t="inlineStr">
        <is>
          <t>Zenodo (CERN European Organization for Nuclear Research)</t>
        </is>
      </c>
      <c r="F243" t="inlineStr">
        <is>
          <t>article</t>
        </is>
      </c>
      <c r="G243" t="inlineStr">
        <is>
          <t>10.5281/zenodo.21875016</t>
        </is>
      </c>
      <c r="H243" t="inlineStr">
        <is>
          <t>W7202126283</t>
        </is>
      </c>
      <c r="I243" t="inlineStr">
        <is>
          <t>https://doi.org/10.5281/zenodo.21875016</t>
        </is>
      </c>
      <c r="J243" t="inlineStr">
        <is>
          <t>https://doi.org/10.5281/zenodo.21875016</t>
        </is>
      </c>
      <c r="K243" t="n">
        <v>0</v>
      </c>
      <c r="L243" t="inlineStr">
        <is>
          <t>B</t>
        </is>
      </c>
      <c r="M243" t="inlineStr">
        <is>
          <t>B5</t>
        </is>
      </c>
      <c r="N243" t="inlineStr"/>
      <c r="O243" t="inlineStr">
        <is>
          <t>Bhutan; France; India; Kenya; Nepal; United Arab Emirates</t>
        </is>
      </c>
      <c r="P243" t="inlineStr">
        <is>
          <t>Multi-region</t>
        </is>
      </c>
      <c r="Q243" t="inlineStr">
        <is>
          <t>Y</t>
        </is>
      </c>
      <c r="R243" t="inlineStr"/>
      <c r="S243" t="inlineStr"/>
      <c r="T243" t="inlineStr">
        <is>
          <t>unclear</t>
        </is>
      </c>
      <c r="U243" t="inlineStr"/>
      <c r="V243" t="inlineStr"/>
      <c r="W243" t="inlineStr">
        <is>
          <t>auto: India has become one of the world's strongest examples of digital governance done at scale.Aadhaar has reached 1.4 billion enrollments, UPI now serves over 300 million users and hasbeen adopted by countries such as Nepal, Bhutan, the UAE, and France, and India runs thelargest welfare delivery sys…</t>
        </is>
      </c>
      <c r="X243" t="inlineStr"/>
      <c r="Y243" t="inlineStr"/>
      <c r="Z243" t="inlineStr">
        <is>
          <t>high</t>
        </is>
      </c>
      <c r="AA243" t="inlineStr">
        <is>
          <t>B5:recent</t>
        </is>
      </c>
      <c r="AB243" t="inlineStr"/>
      <c r="AC243" t="n">
        <v>0</v>
      </c>
    </row>
    <row r="244">
      <c r="A244" t="inlineStr">
        <is>
          <t>LM00243</t>
        </is>
      </c>
      <c r="B244" t="inlineStr">
        <is>
          <t>Digital Public Infrastructure and Evidence-Based Governance: Aadhaar and Direct Benefit Transfer (DBT) in Contemporary India</t>
        </is>
      </c>
      <c r="C244" t="n">
        <v>2026</v>
      </c>
      <c r="D244" t="inlineStr">
        <is>
          <t>Saket Bihari</t>
        </is>
      </c>
      <c r="E244" t="inlineStr">
        <is>
          <t>Zenodo (CERN European Organization for Nuclear Research)</t>
        </is>
      </c>
      <c r="F244" t="inlineStr">
        <is>
          <t>article</t>
        </is>
      </c>
      <c r="G244" t="inlineStr">
        <is>
          <t>10.5281/zenodo.22094332</t>
        </is>
      </c>
      <c r="H244" t="inlineStr">
        <is>
          <t>W7204175336</t>
        </is>
      </c>
      <c r="I244" t="inlineStr">
        <is>
          <t>https://doi.org/10.5281/zenodo.22094332</t>
        </is>
      </c>
      <c r="J244" t="inlineStr">
        <is>
          <t>https://doi.org/10.5281/zenodo.22094332</t>
        </is>
      </c>
      <c r="K244" t="n">
        <v>0</v>
      </c>
      <c r="L244" t="inlineStr">
        <is>
          <t>B</t>
        </is>
      </c>
      <c r="M244" t="inlineStr">
        <is>
          <t>B5</t>
        </is>
      </c>
      <c r="N244" t="inlineStr"/>
      <c r="O244" t="inlineStr">
        <is>
          <t>India</t>
        </is>
      </c>
      <c r="P244" t="inlineStr">
        <is>
          <t>South Asia</t>
        </is>
      </c>
      <c r="Q244" t="inlineStr">
        <is>
          <t>Y</t>
        </is>
      </c>
      <c r="R244" t="inlineStr"/>
      <c r="S244" t="inlineStr"/>
      <c r="T244" t="inlineStr">
        <is>
          <t>unclear</t>
        </is>
      </c>
      <c r="U244" t="inlineStr"/>
      <c r="V244" t="inlineStr"/>
      <c r="W244" t="inlineStr">
        <is>
          <t>auto: This paper examines the evolution of India’s DPI architecture, with particular emphasis on Aadhaar and DBT as foundational mechanisms for governance transformation.</t>
        </is>
      </c>
      <c r="X244" t="inlineStr"/>
      <c r="Y244" t="inlineStr"/>
      <c r="Z244" t="inlineStr">
        <is>
          <t>high</t>
        </is>
      </c>
      <c r="AA244" t="inlineStr">
        <is>
          <t>B5:india; B5:recent</t>
        </is>
      </c>
      <c r="AB244" t="inlineStr">
        <is>
          <t>W7204199979</t>
        </is>
      </c>
      <c r="AC244" t="n">
        <v>0</v>
      </c>
    </row>
    <row r="245">
      <c r="A245" t="inlineStr">
        <is>
          <t>LM00244</t>
        </is>
      </c>
      <c r="B245" t="inlineStr">
        <is>
          <t>Artificial Intelligence in India's Digital Public Infrastructure: An Economic Analysis of Aadhaar and UPI-Based Financial Inclusion</t>
        </is>
      </c>
      <c r="C245" t="n">
        <v>2026</v>
      </c>
      <c r="D245" t="inlineStr">
        <is>
          <t>Sowmya S Murthy</t>
        </is>
      </c>
      <c r="E245" t="inlineStr">
        <is>
          <t>Zenodo (CERN European Organization for Nuclear Research)</t>
        </is>
      </c>
      <c r="F245" t="inlineStr">
        <is>
          <t>article</t>
        </is>
      </c>
      <c r="G245" t="inlineStr">
        <is>
          <t>10.5281/zenodo.22677486</t>
        </is>
      </c>
      <c r="H245" t="inlineStr">
        <is>
          <t>W7212031922</t>
        </is>
      </c>
      <c r="I245" t="inlineStr">
        <is>
          <t>https://doi.org/10.5281/zenodo.22677486</t>
        </is>
      </c>
      <c r="J245" t="inlineStr">
        <is>
          <t>https://www.journaljmsm.info/archives/volume-5/issue-7</t>
        </is>
      </c>
      <c r="K245" t="n">
        <v>0</v>
      </c>
      <c r="L245" t="inlineStr">
        <is>
          <t>B</t>
        </is>
      </c>
      <c r="M245" t="inlineStr">
        <is>
          <t>B5</t>
        </is>
      </c>
      <c r="N245" t="inlineStr"/>
      <c r="O245" t="inlineStr">
        <is>
          <t>India</t>
        </is>
      </c>
      <c r="P245" t="inlineStr">
        <is>
          <t>South Asia</t>
        </is>
      </c>
      <c r="Q245" t="inlineStr">
        <is>
          <t>Y</t>
        </is>
      </c>
      <c r="R245" t="inlineStr"/>
      <c r="S245" t="inlineStr"/>
      <c r="T245" t="inlineStr">
        <is>
          <t>review</t>
        </is>
      </c>
      <c r="U245" t="inlineStr"/>
      <c r="V245" t="inlineStr"/>
      <c r="W245" t="inlineStr">
        <is>
          <t>auto: This paper looks specifically at how AI has been woven into Aadhaar, the country's biometric identity system, and the Unified Payments Interface (UPI), the instant-payment rail that apps such as PhonePe, Google Pay, and Paytm ride on.</t>
        </is>
      </c>
      <c r="X245" t="inlineStr">
        <is>
          <t>auto: Broader work on AI-enabled fintech in emerging markets finds that machine-learning credit-scoring and fraud-detection tools tend to outperform the older statistical models’ banks relied on, and do so in a way that specifically narrows the information gap facing borrowers who lack a conventional credit history. | This paper does not claim to close that gap, but it does try to bring recent transaction data into the same frame as this literature, so that the economic stakes of these open questio…</t>
        </is>
      </c>
      <c r="Y245" t="inlineStr"/>
      <c r="Z245" t="inlineStr">
        <is>
          <t>high</t>
        </is>
      </c>
      <c r="AA245" t="inlineStr">
        <is>
          <t>B5:india; B5:recent</t>
        </is>
      </c>
      <c r="AB245" t="inlineStr"/>
      <c r="AC245" t="n">
        <v>0</v>
      </c>
    </row>
    <row r="246">
      <c r="A246" t="inlineStr">
        <is>
          <t>LM00245</t>
        </is>
      </c>
      <c r="B246" t="inlineStr">
        <is>
          <t>Digital Public Infrastructure as a Convergence Accelerator for Emerging Economies: Identity, payments, and data rails compressing decades of institutional development</t>
        </is>
      </c>
      <c r="C246" t="n">
        <v>2026</v>
      </c>
      <c r="D246" t="inlineStr">
        <is>
          <t>Hunter Hughes</t>
        </is>
      </c>
      <c r="E246" t="inlineStr">
        <is>
          <t>Figshare</t>
        </is>
      </c>
      <c r="F246" t="inlineStr">
        <is>
          <t>preprint</t>
        </is>
      </c>
      <c r="G246" t="inlineStr">
        <is>
          <t>10.6084/m9.figshare.34001571</t>
        </is>
      </c>
      <c r="H246" t="inlineStr">
        <is>
          <t>W7214320601</t>
        </is>
      </c>
      <c r="I246" t="inlineStr">
        <is>
          <t>https://doi.org/10.6084/m9.figshare.34001571</t>
        </is>
      </c>
      <c r="J246" t="inlineStr">
        <is>
          <t>https://doi.org/10.6084/m9.figshare.34001571</t>
        </is>
      </c>
      <c r="K246" t="n">
        <v>0</v>
      </c>
      <c r="L246" t="inlineStr">
        <is>
          <t>B</t>
        </is>
      </c>
      <c r="M246" t="inlineStr">
        <is>
          <t>B5</t>
        </is>
      </c>
      <c r="N246" t="inlineStr"/>
      <c r="O246" t="inlineStr">
        <is>
          <t>Brazil; Estonia; India; Kenya; Nigeria; Rwanda</t>
        </is>
      </c>
      <c r="P246" t="inlineStr">
        <is>
          <t>Multi-region</t>
        </is>
      </c>
      <c r="Q246" t="inlineStr">
        <is>
          <t>Y</t>
        </is>
      </c>
      <c r="R246" t="inlineStr"/>
      <c r="S246" t="inlineStr"/>
      <c r="T246" t="inlineStr">
        <is>
          <t>mixed</t>
        </is>
      </c>
      <c r="U246" t="inlineStr"/>
      <c r="V246" t="inlineStr"/>
      <c r="W246" t="inlineStr">
        <is>
          <t>auto: Digital public infrastructure (DPI)—the integrated stack of foundational digital identity, real‑time payments, and governed data‑exchange systems—has emerged as a powerful convergence accelerator for emerging economies.</t>
        </is>
      </c>
      <c r="X246" t="inlineStr"/>
      <c r="Y246" t="inlineStr"/>
      <c r="Z246" t="inlineStr">
        <is>
          <t>high</t>
        </is>
      </c>
      <c r="AA246" t="inlineStr">
        <is>
          <t>B5:recent</t>
        </is>
      </c>
      <c r="AB246" t="inlineStr">
        <is>
          <t>W7214330276</t>
        </is>
      </c>
    </row>
    <row r="247">
      <c r="A247" t="inlineStr">
        <is>
          <t>LM00246</t>
        </is>
      </c>
      <c r="B247" t="inlineStr">
        <is>
          <t>Legal And Ethical Considerations of Managing Identities, Ranging from Aadhaar to Global Digital Ids</t>
        </is>
      </c>
      <c r="C247" t="n">
        <v>2023</v>
      </c>
      <c r="D247" t="inlineStr">
        <is>
          <t>Petikam Sailaja</t>
        </is>
      </c>
      <c r="E247" t="inlineStr">
        <is>
          <t>Anusandhanvallari</t>
        </is>
      </c>
      <c r="F247" t="inlineStr">
        <is>
          <t>article</t>
        </is>
      </c>
      <c r="G247" t="inlineStr"/>
      <c r="H247" t="inlineStr">
        <is>
          <t>W7217995035</t>
        </is>
      </c>
      <c r="I247" t="inlineStr">
        <is>
          <t>https://psvmkendra.com/index.php/journal/article/view/1745</t>
        </is>
      </c>
      <c r="J247" t="inlineStr">
        <is>
          <t>https://psvmkendra.com/index.php/journal/article/download/1745/1506</t>
        </is>
      </c>
      <c r="K247" t="n">
        <v>0</v>
      </c>
      <c r="L247" t="inlineStr">
        <is>
          <t>B</t>
        </is>
      </c>
      <c r="M247" t="inlineStr">
        <is>
          <t>B5</t>
        </is>
      </c>
      <c r="N247" t="inlineStr"/>
      <c r="O247" t="inlineStr">
        <is>
          <t>European; India</t>
        </is>
      </c>
      <c r="P247" t="inlineStr">
        <is>
          <t>Multi-region</t>
        </is>
      </c>
      <c r="Q247" t="inlineStr">
        <is>
          <t>Y</t>
        </is>
      </c>
      <c r="R247" t="inlineStr"/>
      <c r="S247" t="inlineStr"/>
      <c r="T247" t="inlineStr">
        <is>
          <t>conceptual</t>
        </is>
      </c>
      <c r="U247" t="inlineStr"/>
      <c r="V247" t="inlineStr"/>
      <c r="W247" t="inlineStr">
        <is>
          <t>auto: This article reflects on the history of the development of digital identity systems, the legal framework around digital IDs as well as some ethical questions regarding access to personal information by states and corporations.</t>
        </is>
      </c>
      <c r="X247" t="inlineStr"/>
      <c r="Y247" t="inlineStr"/>
      <c r="Z247" t="inlineStr">
        <is>
          <t>high</t>
        </is>
      </c>
      <c r="AA247" t="inlineStr">
        <is>
          <t>B5:recent</t>
        </is>
      </c>
      <c r="AB247" t="inlineStr"/>
      <c r="AC247" t="n">
        <v>0</v>
      </c>
    </row>
    <row r="248">
      <c r="A248" t="inlineStr">
        <is>
          <t>LM00247</t>
        </is>
      </c>
      <c r="B248" t="inlineStr">
        <is>
          <t>Evaluating the Role of India Stack in Enhancing Financial Inclusion: A Case Study of UPI and Aadhaar-enabled Services in Delhi, India</t>
        </is>
      </c>
      <c r="C248" t="n">
        <v>2026</v>
      </c>
      <c r="D248" t="inlineStr">
        <is>
          <t>Ramya Kathal</t>
        </is>
      </c>
      <c r="E248" t="inlineStr">
        <is>
          <t>Digital Repository (National Repository of Grey Literature)</t>
        </is>
      </c>
      <c r="F248" t="inlineStr">
        <is>
          <t>dissertation</t>
        </is>
      </c>
      <c r="G248" t="inlineStr"/>
      <c r="H248" t="inlineStr">
        <is>
          <t>W7220260751</t>
        </is>
      </c>
      <c r="I248" t="inlineStr">
        <is>
          <t>http://www.nusl.cz/ntk/nusl-783172</t>
        </is>
      </c>
      <c r="J248" t="inlineStr"/>
      <c r="K248" t="n">
        <v>0</v>
      </c>
      <c r="L248" t="inlineStr">
        <is>
          <t>B</t>
        </is>
      </c>
      <c r="M248" t="inlineStr">
        <is>
          <t>B5</t>
        </is>
      </c>
      <c r="N248" t="inlineStr"/>
      <c r="O248" t="inlineStr">
        <is>
          <t>Delhi; India</t>
        </is>
      </c>
      <c r="P248" t="inlineStr">
        <is>
          <t>South Asia</t>
        </is>
      </c>
      <c r="Q248" t="inlineStr">
        <is>
          <t>Y</t>
        </is>
      </c>
      <c r="R248" t="inlineStr">
        <is>
          <t>Y</t>
        </is>
      </c>
      <c r="S248" t="inlineStr"/>
      <c r="T248" t="inlineStr">
        <is>
          <t>qualitative</t>
        </is>
      </c>
      <c r="U248" t="inlineStr"/>
      <c r="V248" t="inlineStr"/>
      <c r="W248" t="inlineStr">
        <is>
          <t>auto: The thesis studies the role of India's Digital Public Infrastructure specifically Aadhaar and Unified Payment Interface in enhancing financial inclusion among the Micro, Small and Medium Enterprises in India, with help of field observations from Delhi.</t>
        </is>
      </c>
      <c r="X248" t="inlineStr"/>
      <c r="Y248" t="inlineStr"/>
      <c r="Z248" t="inlineStr">
        <is>
          <t>high</t>
        </is>
      </c>
      <c r="AA248" t="inlineStr">
        <is>
          <t>B5:india; B5:recent</t>
        </is>
      </c>
      <c r="AB248" t="inlineStr"/>
    </row>
    <row r="249">
      <c r="A249" t="inlineStr">
        <is>
          <t>LM00248</t>
        </is>
      </c>
      <c r="B249" t="inlineStr">
        <is>
          <t>The Platform Society</t>
        </is>
      </c>
      <c r="C249" t="n">
        <v>2018</v>
      </c>
      <c r="D249" t="inlineStr">
        <is>
          <t>José van Dijck; Thomas Poell; Martijn de Waal</t>
        </is>
      </c>
      <c r="E249" t="inlineStr"/>
      <c r="F249" t="inlineStr">
        <is>
          <t>book</t>
        </is>
      </c>
      <c r="G249" t="inlineStr">
        <is>
          <t>10.1093/oso/9780190889760.001.0001</t>
        </is>
      </c>
      <c r="H249" t="inlineStr">
        <is>
          <t>W4249673087</t>
        </is>
      </c>
      <c r="I249" t="inlineStr">
        <is>
          <t>https://doi.org/10.1093/oso/9780190889760.001.0001</t>
        </is>
      </c>
      <c r="J249" t="inlineStr"/>
      <c r="K249" t="n">
        <v>2865</v>
      </c>
      <c r="L249" t="inlineStr">
        <is>
          <t>C</t>
        </is>
      </c>
      <c r="M249" t="inlineStr">
        <is>
          <t>C2</t>
        </is>
      </c>
      <c r="N249" t="inlineStr"/>
      <c r="O249" t="inlineStr"/>
      <c r="P249" t="inlineStr">
        <is>
          <t>Not place-specific</t>
        </is>
      </c>
      <c r="Q249" t="inlineStr"/>
      <c r="R249" t="inlineStr"/>
      <c r="S249" t="inlineStr"/>
      <c r="T249" t="inlineStr">
        <is>
          <t>unclear</t>
        </is>
      </c>
      <c r="U249" t="inlineStr">
        <is>
          <t>Y</t>
        </is>
      </c>
      <c r="V249" t="inlineStr"/>
      <c r="W249" t="inlineStr">
        <is>
          <t>auto: Abstract Individuals all over the world can use Airbnb to rent an apartment in a foreign city, check Coursera to find a course on statistics, join PatientsLikeMe to exchange information about one’s disease, hail a cab using Uber, or read the news through Facebook’s Instant Articles.</t>
        </is>
      </c>
      <c r="X249" t="inlineStr"/>
      <c r="Y249" t="inlineStr"/>
      <c r="Z249" t="inlineStr">
        <is>
          <t>medium</t>
        </is>
      </c>
      <c r="AA249" t="inlineStr">
        <is>
          <t>C2:landmarks</t>
        </is>
      </c>
      <c r="AB249" t="inlineStr">
        <is>
          <t>W2922335598</t>
        </is>
      </c>
      <c r="AC249" t="n">
        <v>150.3684</v>
      </c>
    </row>
    <row r="250">
      <c r="A250" t="inlineStr">
        <is>
          <t>LM00249</t>
        </is>
      </c>
      <c r="B250" t="inlineStr">
        <is>
          <t>The Metaverse as a Virtual Form of Smart Cities: Opportunities and Challenges for Environmental, Economic, and Social Sustainability in Urban Futures</t>
        </is>
      </c>
      <c r="C250" t="n">
        <v>2022</v>
      </c>
      <c r="D250" t="inlineStr">
        <is>
          <t>Zaheer Allam; Ayyoob Sharifi; Simon Elias Bibri; David Sydney Jones; John Krogstie</t>
        </is>
      </c>
      <c r="E250" t="inlineStr">
        <is>
          <t>Smart Cities</t>
        </is>
      </c>
      <c r="F250" t="inlineStr">
        <is>
          <t>article</t>
        </is>
      </c>
      <c r="G250" t="inlineStr">
        <is>
          <t>10.3390/smartcities5030040</t>
        </is>
      </c>
      <c r="H250" t="inlineStr">
        <is>
          <t>W4285004952</t>
        </is>
      </c>
      <c r="I250" t="inlineStr">
        <is>
          <t>https://doi.org/10.3390/smartcities5030040</t>
        </is>
      </c>
      <c r="J250" t="inlineStr">
        <is>
          <t>https://www.mdpi.com/2624-6511/5/3/40/pdf?version=1657504483</t>
        </is>
      </c>
      <c r="K250" t="n">
        <v>684</v>
      </c>
      <c r="L250" t="inlineStr">
        <is>
          <t>C</t>
        </is>
      </c>
      <c r="M250" t="inlineStr">
        <is>
          <t>C2</t>
        </is>
      </c>
      <c r="N250" t="inlineStr"/>
      <c r="O250" t="inlineStr"/>
      <c r="P250" t="inlineStr">
        <is>
          <t>Not place-specific</t>
        </is>
      </c>
      <c r="Q250" t="inlineStr"/>
      <c r="R250" t="inlineStr"/>
      <c r="S250" t="inlineStr"/>
      <c r="T250" t="inlineStr">
        <is>
          <t>review</t>
        </is>
      </c>
      <c r="U250" t="inlineStr">
        <is>
          <t>Y</t>
        </is>
      </c>
      <c r="V250" t="inlineStr">
        <is>
          <t>Y</t>
        </is>
      </c>
      <c r="W250" t="inlineStr">
        <is>
          <t>auto: This paper undertakes an upper-level literature review of the area of the Metaverse from a broader perspective.</t>
        </is>
      </c>
      <c r="X250" t="inlineStr"/>
      <c r="Y250" t="inlineStr"/>
      <c r="Z250" t="inlineStr">
        <is>
          <t>high</t>
        </is>
      </c>
      <c r="AA250" t="inlineStr">
        <is>
          <t>C2:landmarks</t>
        </is>
      </c>
      <c r="AB250" t="inlineStr"/>
      <c r="AC250" t="n">
        <v>60.5748</v>
      </c>
    </row>
    <row r="251">
      <c r="A251" t="inlineStr">
        <is>
          <t>LM00250</t>
        </is>
      </c>
      <c r="B251" t="inlineStr">
        <is>
          <t>Glitchy vignettes of platform urbanism</t>
        </is>
      </c>
      <c r="C251" t="n">
        <v>2019</v>
      </c>
      <c r="D251" t="inlineStr">
        <is>
          <t>Agnieszka Leszczynski</t>
        </is>
      </c>
      <c r="E251" t="inlineStr">
        <is>
          <t>Environment and Planning D Society and Space</t>
        </is>
      </c>
      <c r="F251" t="inlineStr">
        <is>
          <t>article</t>
        </is>
      </c>
      <c r="G251" t="inlineStr">
        <is>
          <t>10.1177/0263775819878721</t>
        </is>
      </c>
      <c r="H251" t="inlineStr">
        <is>
          <t>W2978834101</t>
        </is>
      </c>
      <c r="I251" t="inlineStr">
        <is>
          <t>https://doi.org/10.1177/0263775819878721</t>
        </is>
      </c>
      <c r="J251" t="inlineStr"/>
      <c r="K251" t="n">
        <v>322</v>
      </c>
      <c r="L251" t="inlineStr">
        <is>
          <t>C</t>
        </is>
      </c>
      <c r="M251" t="inlineStr">
        <is>
          <t>C2</t>
        </is>
      </c>
      <c r="N251" t="inlineStr"/>
      <c r="O251" t="inlineStr"/>
      <c r="P251" t="inlineStr">
        <is>
          <t>Not place-specific</t>
        </is>
      </c>
      <c r="Q251" t="inlineStr"/>
      <c r="R251" t="inlineStr"/>
      <c r="S251" t="inlineStr"/>
      <c r="T251" t="inlineStr">
        <is>
          <t>conceptual</t>
        </is>
      </c>
      <c r="U251" t="inlineStr">
        <is>
          <t>Y</t>
        </is>
      </c>
      <c r="V251" t="inlineStr"/>
      <c r="W251" t="inlineStr">
        <is>
          <t>auto: In this paper, I advance a counter-topographical minor theory of platform urbanism.</t>
        </is>
      </c>
      <c r="X251" t="inlineStr"/>
      <c r="Y251" t="inlineStr"/>
      <c r="Z251" t="inlineStr">
        <is>
          <t>high</t>
        </is>
      </c>
      <c r="AA251" t="inlineStr">
        <is>
          <t>C2:landmarks</t>
        </is>
      </c>
      <c r="AB251" t="inlineStr"/>
      <c r="AC251" t="n">
        <v>21.8483</v>
      </c>
    </row>
    <row r="252">
      <c r="A252" t="inlineStr">
        <is>
          <t>LM00251</t>
        </is>
      </c>
      <c r="B252" t="inlineStr">
        <is>
          <t>Questioning mobility as a service: Unanticipated implications for society and governance</t>
        </is>
      </c>
      <c r="C252" t="n">
        <v>2019</v>
      </c>
      <c r="D252" t="inlineStr">
        <is>
          <t>Kate Pangbourne; Miloš N. Mladenović; Dominic Stead; Dimitris Milakis</t>
        </is>
      </c>
      <c r="E252" t="inlineStr">
        <is>
          <t>Transportation Research Part A Policy and Practice</t>
        </is>
      </c>
      <c r="F252" t="inlineStr">
        <is>
          <t>article</t>
        </is>
      </c>
      <c r="G252" t="inlineStr">
        <is>
          <t>10.1016/j.tra.2019.09.033</t>
        </is>
      </c>
      <c r="H252" t="inlineStr">
        <is>
          <t>W2946715324</t>
        </is>
      </c>
      <c r="I252" t="inlineStr">
        <is>
          <t>https://doi.org/10.1016/j.tra.2019.09.033</t>
        </is>
      </c>
      <c r="J252" t="inlineStr">
        <is>
          <t>https://www.sciencedirect.com/science/article/pii/S0965856418309601/pdf</t>
        </is>
      </c>
      <c r="K252" t="n">
        <v>304</v>
      </c>
      <c r="L252" t="inlineStr">
        <is>
          <t>C</t>
        </is>
      </c>
      <c r="M252" t="inlineStr">
        <is>
          <t>C2</t>
        </is>
      </c>
      <c r="N252" t="inlineStr"/>
      <c r="O252" t="inlineStr"/>
      <c r="P252" t="inlineStr">
        <is>
          <t>Not place-specific</t>
        </is>
      </c>
      <c r="Q252" t="inlineStr"/>
      <c r="R252" t="inlineStr"/>
      <c r="S252" t="inlineStr"/>
      <c r="T252" t="inlineStr">
        <is>
          <t>conceptual</t>
        </is>
      </c>
      <c r="U252" t="inlineStr">
        <is>
          <t>Y</t>
        </is>
      </c>
      <c r="V252" t="inlineStr"/>
      <c r="W252" t="inlineStr">
        <is>
          <t>auto: In this paper we focus on the development of a new service model for accessing transport, namely Mobility as a Service (MaaS) and present one of the first critical analyses of the rhetoric surrounding the concept.</t>
        </is>
      </c>
      <c r="X252" t="inlineStr"/>
      <c r="Y252" t="inlineStr"/>
      <c r="Z252" t="inlineStr">
        <is>
          <t>medium</t>
        </is>
      </c>
      <c r="AA252" t="inlineStr">
        <is>
          <t>C2:landmarks</t>
        </is>
      </c>
      <c r="AB252" t="inlineStr"/>
      <c r="AC252" t="n">
        <v>16.6636</v>
      </c>
    </row>
    <row r="253">
      <c r="A253" t="inlineStr">
        <is>
          <t>LM00252</t>
        </is>
      </c>
      <c r="B253" t="inlineStr">
        <is>
          <t>Platform Urbanism</t>
        </is>
      </c>
      <c r="C253" t="n">
        <v>2019</v>
      </c>
      <c r="D253" t="inlineStr">
        <is>
          <t>Sarah Barns</t>
        </is>
      </c>
      <c r="E253" t="inlineStr">
        <is>
          <t>Springer eBooks</t>
        </is>
      </c>
      <c r="F253" t="inlineStr">
        <is>
          <t>book</t>
        </is>
      </c>
      <c r="G253" t="inlineStr">
        <is>
          <t>10.1007/978-981-32-9725-8</t>
        </is>
      </c>
      <c r="H253" t="inlineStr">
        <is>
          <t>W4235487284</t>
        </is>
      </c>
      <c r="I253" t="inlineStr">
        <is>
          <t>https://doi.org/10.1007/978-981-32-9725-8</t>
        </is>
      </c>
      <c r="J253" t="inlineStr"/>
      <c r="K253" t="n">
        <v>260</v>
      </c>
      <c r="L253" t="inlineStr">
        <is>
          <t>C</t>
        </is>
      </c>
      <c r="M253" t="inlineStr">
        <is>
          <t>C2</t>
        </is>
      </c>
      <c r="N253" t="inlineStr"/>
      <c r="O253" t="inlineStr"/>
      <c r="P253" t="inlineStr">
        <is>
          <t>Not place-specific</t>
        </is>
      </c>
      <c r="Q253" t="inlineStr"/>
      <c r="R253" t="inlineStr"/>
      <c r="S253" t="inlineStr"/>
      <c r="T253" t="inlineStr">
        <is>
          <t>unclear</t>
        </is>
      </c>
      <c r="U253" t="inlineStr">
        <is>
          <t>Y</t>
        </is>
      </c>
      <c r="V253" t="inlineStr"/>
      <c r="W253" t="inlineStr"/>
      <c r="X253" t="inlineStr"/>
      <c r="Y253" t="inlineStr"/>
      <c r="Z253" t="inlineStr">
        <is>
          <t>low</t>
        </is>
      </c>
      <c r="AA253" t="inlineStr">
        <is>
          <t>C2:landmarks</t>
        </is>
      </c>
      <c r="AB253" t="inlineStr"/>
      <c r="AC253" t="n">
        <v>20.9781</v>
      </c>
    </row>
    <row r="254">
      <c r="A254" t="inlineStr">
        <is>
          <t>LM00253</t>
        </is>
      </c>
      <c r="B254" t="inlineStr">
        <is>
          <t>Regulate, replicate, and resist – the conjunctural geographies of platform urbanism</t>
        </is>
      </c>
      <c r="C254" t="n">
        <v>2020</v>
      </c>
      <c r="D254" t="inlineStr">
        <is>
          <t>Mark J Graham</t>
        </is>
      </c>
      <c r="E254" t="inlineStr">
        <is>
          <t>Urban Geography</t>
        </is>
      </c>
      <c r="F254" t="inlineStr">
        <is>
          <t>article</t>
        </is>
      </c>
      <c r="G254" t="inlineStr">
        <is>
          <t>10.1080/02723638.2020.1717028</t>
        </is>
      </c>
      <c r="H254" t="inlineStr">
        <is>
          <t>W3002251334</t>
        </is>
      </c>
      <c r="I254" t="inlineStr">
        <is>
          <t>https://doi.org/10.1080/02723638.2020.1717028</t>
        </is>
      </c>
      <c r="J254" t="inlineStr">
        <is>
          <t>https://www.tandfonline.com/doi/pdf/10.1080/02723638.2020.1717028?needAccess=true</t>
        </is>
      </c>
      <c r="K254" t="n">
        <v>250</v>
      </c>
      <c r="L254" t="inlineStr">
        <is>
          <t>C</t>
        </is>
      </c>
      <c r="M254" t="inlineStr">
        <is>
          <t>C2</t>
        </is>
      </c>
      <c r="N254" t="inlineStr"/>
      <c r="O254" t="inlineStr"/>
      <c r="P254" t="inlineStr">
        <is>
          <t>Not place-specific</t>
        </is>
      </c>
      <c r="Q254" t="inlineStr"/>
      <c r="R254" t="inlineStr"/>
      <c r="S254" t="inlineStr"/>
      <c r="T254" t="inlineStr">
        <is>
          <t>conceptual</t>
        </is>
      </c>
      <c r="U254" t="inlineStr">
        <is>
          <t>Y</t>
        </is>
      </c>
      <c r="V254" t="inlineStr"/>
      <c r="W254" t="inlineStr">
        <is>
          <t>auto: This paper argues that platforms control urban interactions whilst remaining unaccountable through a strategic deployment of ‘conjunctural geographies’ – a way of being simultaneously embedded and disembedded from the space-times they mediate.</t>
        </is>
      </c>
      <c r="X254" t="inlineStr"/>
      <c r="Y254" t="inlineStr"/>
      <c r="Z254" t="inlineStr">
        <is>
          <t>high</t>
        </is>
      </c>
      <c r="AA254" t="inlineStr">
        <is>
          <t>C2:landmarks</t>
        </is>
      </c>
      <c r="AB254" t="inlineStr"/>
      <c r="AC254" t="n">
        <v>66.3866</v>
      </c>
    </row>
    <row r="255">
      <c r="A255" t="inlineStr">
        <is>
          <t>LM00254</t>
        </is>
      </c>
      <c r="B255" t="inlineStr">
        <is>
          <t>The rise of on-demand ‘Instant Deliveries’ in European cities</t>
        </is>
      </c>
      <c r="C255" t="n">
        <v>2017</v>
      </c>
      <c r="D255" t="inlineStr">
        <is>
          <t>Lætitia Dablanc; Eléonora Morganti; Niklas Arvidsson; Johan Woxenius; Michael J. Browne; Neïla Saidi</t>
        </is>
      </c>
      <c r="E255" t="inlineStr">
        <is>
          <t>Supply Chain Forum an International Journal</t>
        </is>
      </c>
      <c r="F255" t="inlineStr">
        <is>
          <t>article</t>
        </is>
      </c>
      <c r="G255" t="inlineStr">
        <is>
          <t>10.1080/16258312.2017.1375375</t>
        </is>
      </c>
      <c r="H255" t="inlineStr">
        <is>
          <t>W2755229219</t>
        </is>
      </c>
      <c r="I255" t="inlineStr">
        <is>
          <t>https://doi.org/10.1080/16258312.2017.1375375</t>
        </is>
      </c>
      <c r="J255" t="inlineStr"/>
      <c r="K255" t="n">
        <v>232</v>
      </c>
      <c r="L255" t="inlineStr">
        <is>
          <t>C</t>
        </is>
      </c>
      <c r="M255" t="inlineStr">
        <is>
          <t>C2</t>
        </is>
      </c>
      <c r="N255" t="inlineStr"/>
      <c r="O255" t="inlineStr">
        <is>
          <t>European</t>
        </is>
      </c>
      <c r="P255" t="inlineStr">
        <is>
          <t>Global North</t>
        </is>
      </c>
      <c r="Q255" t="inlineStr"/>
      <c r="R255" t="inlineStr"/>
      <c r="S255" t="inlineStr"/>
      <c r="T255" t="inlineStr">
        <is>
          <t>quantitative</t>
        </is>
      </c>
      <c r="U255" t="inlineStr">
        <is>
          <t>Y</t>
        </is>
      </c>
      <c r="V255" t="inlineStr"/>
      <c r="W255" t="inlineStr">
        <is>
          <t>auto: This exploratory paper contributes to a new body of research that investigates the potential of digital market places to disrupt transport and mobility services.</t>
        </is>
      </c>
      <c r="X255" t="inlineStr"/>
      <c r="Y255" t="inlineStr"/>
      <c r="Z255" t="inlineStr">
        <is>
          <t>high</t>
        </is>
      </c>
      <c r="AA255" t="inlineStr">
        <is>
          <t>C2:landmarks</t>
        </is>
      </c>
      <c r="AB255" t="inlineStr"/>
      <c r="AC255" t="n">
        <v>14.4844</v>
      </c>
    </row>
    <row r="256">
      <c r="A256" t="inlineStr">
        <is>
          <t>LM00255</t>
        </is>
      </c>
      <c r="B256" t="inlineStr">
        <is>
          <t>Platformization of the Unlikely Creative Class: Kuaishou and Chinese Digital Cultural Production</t>
        </is>
      </c>
      <c r="C256" t="n">
        <v>2019</v>
      </c>
      <c r="D256" t="inlineStr">
        <is>
          <t>Jian Lin; Jeroen de Kloet</t>
        </is>
      </c>
      <c r="E256" t="inlineStr">
        <is>
          <t>Social Media + Society</t>
        </is>
      </c>
      <c r="F256" t="inlineStr">
        <is>
          <t>article</t>
        </is>
      </c>
      <c r="G256" t="inlineStr">
        <is>
          <t>10.1177/2056305119883430</t>
        </is>
      </c>
      <c r="H256" t="inlineStr">
        <is>
          <t>W2991063027</t>
        </is>
      </c>
      <c r="I256" t="inlineStr">
        <is>
          <t>https://doi.org/10.1177/2056305119883430</t>
        </is>
      </c>
      <c r="J256" t="inlineStr">
        <is>
          <t>https://journals.sagepub.com/doi/pdf/10.1177/2056305119883430</t>
        </is>
      </c>
      <c r="K256" t="n">
        <v>219</v>
      </c>
      <c r="L256" t="inlineStr">
        <is>
          <t>C</t>
        </is>
      </c>
      <c r="M256" t="inlineStr">
        <is>
          <t>C2</t>
        </is>
      </c>
      <c r="N256" t="inlineStr"/>
      <c r="O256" t="inlineStr">
        <is>
          <t>China</t>
        </is>
      </c>
      <c r="P256" t="inlineStr">
        <is>
          <t>China &amp; East Asia</t>
        </is>
      </c>
      <c r="Q256" t="inlineStr"/>
      <c r="R256" t="inlineStr"/>
      <c r="S256" t="inlineStr"/>
      <c r="T256" t="inlineStr">
        <is>
          <t>conceptual</t>
        </is>
      </c>
      <c r="U256" t="inlineStr">
        <is>
          <t>Y</t>
        </is>
      </c>
      <c r="V256" t="inlineStr"/>
      <c r="W256" t="inlineStr">
        <is>
          <t>auto: This article studies the platformization of cultural production in China through the specific lens of Kuaishou, an algorithm-based video-sharing platform targeting second- and third-tier cities as well as the countryside.</t>
        </is>
      </c>
      <c r="X256" t="inlineStr"/>
      <c r="Y256" t="inlineStr"/>
      <c r="Z256" t="inlineStr">
        <is>
          <t>high</t>
        </is>
      </c>
      <c r="AA256" t="inlineStr">
        <is>
          <t>C2:landmarks</t>
        </is>
      </c>
      <c r="AB256" t="inlineStr"/>
      <c r="AC256" t="n">
        <v>46.6909</v>
      </c>
    </row>
    <row r="257">
      <c r="A257" t="inlineStr">
        <is>
          <t>LM00256</t>
        </is>
      </c>
      <c r="B257" t="inlineStr">
        <is>
          <t>Infrastructuralization of Tik Tok: transformation, power relationships, and platformization of video entertainment in China</t>
        </is>
      </c>
      <c r="C257" t="n">
        <v>2020</v>
      </c>
      <c r="D257" t="inlineStr">
        <is>
          <t>Zongyi Zhang</t>
        </is>
      </c>
      <c r="E257" t="inlineStr">
        <is>
          <t>Media Culture &amp; Society</t>
        </is>
      </c>
      <c r="F257" t="inlineStr">
        <is>
          <t>article</t>
        </is>
      </c>
      <c r="G257" t="inlineStr">
        <is>
          <t>10.1177/0163443720939452</t>
        </is>
      </c>
      <c r="H257" t="inlineStr">
        <is>
          <t>W3045097095</t>
        </is>
      </c>
      <c r="I257" t="inlineStr">
        <is>
          <t>https://doi.org/10.1177/0163443720939452</t>
        </is>
      </c>
      <c r="J257" t="inlineStr"/>
      <c r="K257" t="n">
        <v>215</v>
      </c>
      <c r="L257" t="inlineStr">
        <is>
          <t>C</t>
        </is>
      </c>
      <c r="M257" t="inlineStr">
        <is>
          <t>C2</t>
        </is>
      </c>
      <c r="N257" t="inlineStr"/>
      <c r="O257" t="inlineStr">
        <is>
          <t>China</t>
        </is>
      </c>
      <c r="P257" t="inlineStr">
        <is>
          <t>China &amp; East Asia</t>
        </is>
      </c>
      <c r="Q257" t="inlineStr"/>
      <c r="R257" t="inlineStr"/>
      <c r="S257" t="inlineStr"/>
      <c r="T257" t="inlineStr">
        <is>
          <t>qualitative</t>
        </is>
      </c>
      <c r="U257" t="inlineStr">
        <is>
          <t>Y</t>
        </is>
      </c>
      <c r="V257" t="inlineStr"/>
      <c r="W257" t="inlineStr">
        <is>
          <t>auto: The article contributes to complicate the issue of ‘infrastructuralization of platform’ through an empirical study on China’s video streaming platform, Tik Tok.</t>
        </is>
      </c>
      <c r="X257" t="inlineStr">
        <is>
          <t>auto: Therefore, the article not only fills in the gap of a case study on infrastructural video streaming platform but also intends to highlight changing power relationships between government and platform in the process of infrastructuralization.</t>
        </is>
      </c>
      <c r="Y257" t="inlineStr"/>
      <c r="Z257" t="inlineStr">
        <is>
          <t>high</t>
        </is>
      </c>
      <c r="AA257" t="inlineStr">
        <is>
          <t>C2:landmarks</t>
        </is>
      </c>
      <c r="AB257" t="inlineStr"/>
      <c r="AC257" t="n">
        <v>15.6481</v>
      </c>
    </row>
    <row r="258">
      <c r="A258" t="inlineStr">
        <is>
          <t>LM00257</t>
        </is>
      </c>
      <c r="B258" t="inlineStr">
        <is>
          <t>City-as-a-Platform: The Rise of Participatory Innovation Platforms in Finnish Cities</t>
        </is>
      </c>
      <c r="C258" t="n">
        <v>2016</v>
      </c>
      <c r="D258" t="inlineStr">
        <is>
          <t>Ari‐Veikko Anttiroiko</t>
        </is>
      </c>
      <c r="E258" t="inlineStr">
        <is>
          <t>Sustainability</t>
        </is>
      </c>
      <c r="F258" t="inlineStr">
        <is>
          <t>article</t>
        </is>
      </c>
      <c r="G258" t="inlineStr">
        <is>
          <t>10.3390/su8090922</t>
        </is>
      </c>
      <c r="H258" t="inlineStr">
        <is>
          <t>W2520015019</t>
        </is>
      </c>
      <c r="I258" t="inlineStr">
        <is>
          <t>https://doi.org/10.3390/su8090922</t>
        </is>
      </c>
      <c r="J258" t="inlineStr">
        <is>
          <t>https://doi.org/10.3390/su8090922</t>
        </is>
      </c>
      <c r="K258" t="n">
        <v>209</v>
      </c>
      <c r="L258" t="inlineStr">
        <is>
          <t>C</t>
        </is>
      </c>
      <c r="M258" t="inlineStr">
        <is>
          <t>C2</t>
        </is>
      </c>
      <c r="N258" t="inlineStr"/>
      <c r="O258" t="inlineStr">
        <is>
          <t>Finland; Helsinki</t>
        </is>
      </c>
      <c r="P258" t="inlineStr">
        <is>
          <t>Global North</t>
        </is>
      </c>
      <c r="Q258" t="inlineStr"/>
      <c r="R258" t="inlineStr"/>
      <c r="S258" t="inlineStr"/>
      <c r="T258" t="inlineStr">
        <is>
          <t>conceptual</t>
        </is>
      </c>
      <c r="U258" t="inlineStr">
        <is>
          <t>Y</t>
        </is>
      </c>
      <c r="V258" t="inlineStr"/>
      <c r="W258" t="inlineStr">
        <is>
          <t>auto: This article discusses the idea of city as a platform.</t>
        </is>
      </c>
      <c r="X258" t="inlineStr"/>
      <c r="Y258" t="inlineStr"/>
      <c r="Z258" t="inlineStr">
        <is>
          <t>high</t>
        </is>
      </c>
      <c r="AA258" t="inlineStr">
        <is>
          <t>C2:landmarks</t>
        </is>
      </c>
      <c r="AB258" t="inlineStr"/>
      <c r="AC258" t="n">
        <v>17.3429</v>
      </c>
    </row>
    <row r="259">
      <c r="A259" t="inlineStr">
        <is>
          <t>LM00258</t>
        </is>
      </c>
      <c r="B259" t="inlineStr">
        <is>
          <t>Negotiating the platform pivot: From participatory digital ecosystems to infrastructures of everyday life</t>
        </is>
      </c>
      <c r="C259" t="n">
        <v>2019</v>
      </c>
      <c r="D259" t="inlineStr">
        <is>
          <t>Sarah Barns</t>
        </is>
      </c>
      <c r="E259" t="inlineStr">
        <is>
          <t>Geography Compass</t>
        </is>
      </c>
      <c r="F259" t="inlineStr">
        <is>
          <t>article</t>
        </is>
      </c>
      <c r="G259" t="inlineStr">
        <is>
          <t>10.1111/gec3.12464</t>
        </is>
      </c>
      <c r="H259" t="inlineStr">
        <is>
          <t>W2964659322</t>
        </is>
      </c>
      <c r="I259" t="inlineStr">
        <is>
          <t>https://doi.org/10.1111/gec3.12464</t>
        </is>
      </c>
      <c r="J259" t="inlineStr"/>
      <c r="K259" t="n">
        <v>199</v>
      </c>
      <c r="L259" t="inlineStr">
        <is>
          <t>C</t>
        </is>
      </c>
      <c r="M259" t="inlineStr">
        <is>
          <t>C2</t>
        </is>
      </c>
      <c r="N259" t="inlineStr"/>
      <c r="O259" t="inlineStr"/>
      <c r="P259" t="inlineStr">
        <is>
          <t>Not place-specific</t>
        </is>
      </c>
      <c r="Q259" t="inlineStr"/>
      <c r="R259" t="inlineStr"/>
      <c r="S259" t="inlineStr"/>
      <c r="T259" t="inlineStr">
        <is>
          <t>conceptual</t>
        </is>
      </c>
      <c r="U259" t="inlineStr">
        <is>
          <t>Y</t>
        </is>
      </c>
      <c r="V259" t="inlineStr"/>
      <c r="W259" t="inlineStr">
        <is>
          <t>auto: This paper addresses the different ways that platforms are coming into focus, evidenced by growing literatures on platform capitalism, the platform society, platform surveillance, and platform urbanism.</t>
        </is>
      </c>
      <c r="X259" t="inlineStr"/>
      <c r="Y259" t="inlineStr"/>
      <c r="Z259" t="inlineStr">
        <is>
          <t>high</t>
        </is>
      </c>
      <c r="AA259" t="inlineStr">
        <is>
          <t>C2:landmarks</t>
        </is>
      </c>
      <c r="AB259" t="inlineStr"/>
      <c r="AC259" t="n">
        <v>38.2358</v>
      </c>
    </row>
    <row r="260">
      <c r="A260" t="inlineStr">
        <is>
          <t>LM00259</t>
        </is>
      </c>
      <c r="B260" t="inlineStr">
        <is>
          <t>Gig work as migrant work: The platformization of migration infrastructure</t>
        </is>
      </c>
      <c r="C260" t="n">
        <v>2021</v>
      </c>
      <c r="D260" t="inlineStr">
        <is>
          <t>Niels van Doorn; Darsana Vijay</t>
        </is>
      </c>
      <c r="E260" t="inlineStr">
        <is>
          <t>Environment and Planning A Economy and Space</t>
        </is>
      </c>
      <c r="F260" t="inlineStr">
        <is>
          <t>article</t>
        </is>
      </c>
      <c r="G260" t="inlineStr">
        <is>
          <t>10.1177/0308518x211065049</t>
        </is>
      </c>
      <c r="H260" t="inlineStr">
        <is>
          <t>W4200318025</t>
        </is>
      </c>
      <c r="I260" t="inlineStr">
        <is>
          <t>https://doi.org/10.1177/0308518x211065049</t>
        </is>
      </c>
      <c r="J260" t="inlineStr">
        <is>
          <t>https://journals.sagepub.com/doi/pdf/10.1177/0308518X211065049</t>
        </is>
      </c>
      <c r="K260" t="n">
        <v>198</v>
      </c>
      <c r="L260" t="inlineStr">
        <is>
          <t>C</t>
        </is>
      </c>
      <c r="M260" t="inlineStr">
        <is>
          <t>C2</t>
        </is>
      </c>
      <c r="N260" t="inlineStr"/>
      <c r="O260" t="inlineStr">
        <is>
          <t>Amsterdam; Berlin; New York</t>
        </is>
      </c>
      <c r="P260" t="inlineStr">
        <is>
          <t>Global North</t>
        </is>
      </c>
      <c r="Q260" t="inlineStr"/>
      <c r="R260" t="inlineStr"/>
      <c r="S260" t="inlineStr"/>
      <c r="T260" t="inlineStr">
        <is>
          <t>conceptual</t>
        </is>
      </c>
      <c r="U260" t="inlineStr">
        <is>
          <t>Y</t>
        </is>
      </c>
      <c r="V260" t="inlineStr"/>
      <c r="W260" t="inlineStr">
        <is>
          <t>auto: Accordingly, we argue that there is an urgent need to center migrant experiences and the role of migrant labor in gig economy research, in order to generate a better understanding of how gig work offers certain opportunities and challenges to migrants with a variety of backgrounds and skill levels.</t>
        </is>
      </c>
      <c r="X260" t="inlineStr">
        <is>
          <t>auto: To fill this research gap, this article examines why migrant workers in Berlin, Amsterdam, and New York take up platform labor and how they incorporate it into their everyday lives and migration trajectories.</t>
        </is>
      </c>
      <c r="Y260" t="inlineStr"/>
      <c r="Z260" t="inlineStr">
        <is>
          <t>high</t>
        </is>
      </c>
      <c r="AA260" t="inlineStr">
        <is>
          <t>C2:landmarks</t>
        </is>
      </c>
      <c r="AB260" t="inlineStr"/>
      <c r="AC260" t="n">
        <v>31.5938</v>
      </c>
    </row>
    <row r="261">
      <c r="A261" t="inlineStr">
        <is>
          <t>LM00260</t>
        </is>
      </c>
      <c r="B261" t="inlineStr">
        <is>
          <t>Cyberspace and cityscapes: on the emergence of platform urbanism</t>
        </is>
      </c>
      <c r="C261" t="n">
        <v>2020</v>
      </c>
      <c r="D261" t="inlineStr">
        <is>
          <t>Jathan Sadowski</t>
        </is>
      </c>
      <c r="E261" t="inlineStr">
        <is>
          <t>Urban Geography</t>
        </is>
      </c>
      <c r="F261" t="inlineStr">
        <is>
          <t>article</t>
        </is>
      </c>
      <c r="G261" t="inlineStr">
        <is>
          <t>10.1080/02723638.2020.1721055</t>
        </is>
      </c>
      <c r="H261" t="inlineStr">
        <is>
          <t>W3003313551</t>
        </is>
      </c>
      <c r="I261" t="inlineStr">
        <is>
          <t>https://doi.org/10.1080/02723638.2020.1721055</t>
        </is>
      </c>
      <c r="J261" t="inlineStr"/>
      <c r="K261" t="n">
        <v>191</v>
      </c>
      <c r="L261" t="inlineStr">
        <is>
          <t>C</t>
        </is>
      </c>
      <c r="M261" t="inlineStr">
        <is>
          <t>C2</t>
        </is>
      </c>
      <c r="N261" t="inlineStr"/>
      <c r="O261" t="inlineStr"/>
      <c r="P261" t="inlineStr">
        <is>
          <t>Not place-specific</t>
        </is>
      </c>
      <c r="Q261" t="inlineStr"/>
      <c r="R261" t="inlineStr"/>
      <c r="S261" t="inlineStr"/>
      <c r="T261" t="inlineStr">
        <is>
          <t>conceptual</t>
        </is>
      </c>
      <c r="U261" t="inlineStr">
        <is>
          <t>Y</t>
        </is>
      </c>
      <c r="V261" t="inlineStr"/>
      <c r="W261" t="inlineStr">
        <is>
          <t>auto: Technological modes of urbanism continue to transform and expand with new technologies, new actors, and new developments that are ripe for critical geographical analysis.</t>
        </is>
      </c>
      <c r="X261" t="inlineStr"/>
      <c r="Y261" t="inlineStr"/>
      <c r="Z261" t="inlineStr">
        <is>
          <t>high</t>
        </is>
      </c>
      <c r="AA261" t="inlineStr">
        <is>
          <t>C2:landmarks</t>
        </is>
      </c>
      <c r="AB261" t="inlineStr"/>
      <c r="AC261" t="n">
        <v>11.9432</v>
      </c>
    </row>
    <row r="262">
      <c r="A262" t="inlineStr">
        <is>
          <t>LM00261</t>
        </is>
      </c>
      <c r="B262" t="inlineStr">
        <is>
          <t>Mobile workers, contingent labour: Migration, the gig economy and the multiplication of labour</t>
        </is>
      </c>
      <c r="C262" t="n">
        <v>2021</v>
      </c>
      <c r="D262" t="inlineStr">
        <is>
          <t>Moritz Altenried</t>
        </is>
      </c>
      <c r="E262" t="inlineStr">
        <is>
          <t>Environment and Planning A Economy and Space</t>
        </is>
      </c>
      <c r="F262" t="inlineStr">
        <is>
          <t>article</t>
        </is>
      </c>
      <c r="G262" t="inlineStr">
        <is>
          <t>10.1177/0308518x211054846</t>
        </is>
      </c>
      <c r="H262" t="inlineStr">
        <is>
          <t>W3212665405</t>
        </is>
      </c>
      <c r="I262" t="inlineStr">
        <is>
          <t>https://doi.org/10.1177/0308518x211054846</t>
        </is>
      </c>
      <c r="J262" t="inlineStr">
        <is>
          <t>https://journals.sagepub.com/doi/pdf/10.1177/0308518X211054846</t>
        </is>
      </c>
      <c r="K262" t="n">
        <v>184</v>
      </c>
      <c r="L262" t="inlineStr">
        <is>
          <t>C</t>
        </is>
      </c>
      <c r="M262" t="inlineStr">
        <is>
          <t>C2</t>
        </is>
      </c>
      <c r="N262" t="inlineStr"/>
      <c r="O262" t="inlineStr">
        <is>
          <t>Berlin</t>
        </is>
      </c>
      <c r="P262" t="inlineStr">
        <is>
          <t>Global North</t>
        </is>
      </c>
      <c r="Q262" t="inlineStr"/>
      <c r="R262" t="inlineStr"/>
      <c r="S262" t="inlineStr"/>
      <c r="T262" t="inlineStr">
        <is>
          <t>qualitative</t>
        </is>
      </c>
      <c r="U262" t="inlineStr">
        <is>
          <t>Y</t>
        </is>
      </c>
      <c r="V262" t="inlineStr"/>
      <c r="W262" t="inlineStr">
        <is>
          <t>auto: The article takes the surprising exit of the food delivery platform Deliveroo from Berlin as a starting point to analyse the relationship between migration and the gig economy.</t>
        </is>
      </c>
      <c r="X262" t="inlineStr"/>
      <c r="Y262" t="inlineStr"/>
      <c r="Z262" t="inlineStr">
        <is>
          <t>high</t>
        </is>
      </c>
      <c r="AA262" t="inlineStr">
        <is>
          <t>C2:landmarks</t>
        </is>
      </c>
      <c r="AB262" t="inlineStr"/>
      <c r="AC262" t="n">
        <v>31.5355</v>
      </c>
    </row>
    <row r="263">
      <c r="A263" t="inlineStr">
        <is>
          <t>LM00262</t>
        </is>
      </c>
      <c r="B263" t="inlineStr">
        <is>
          <t>Platform Urbanism: Negotiating Platform Ecosystems in Connected Cities</t>
        </is>
      </c>
      <c r="C263" t="n">
        <v>2019</v>
      </c>
      <c r="D263" t="inlineStr">
        <is>
          <t>Sarah Barns</t>
        </is>
      </c>
      <c r="E263" t="inlineStr">
        <is>
          <t>QUT ePrints (Queensland University of Technology)</t>
        </is>
      </c>
      <c r="F263" t="inlineStr">
        <is>
          <t>report</t>
        </is>
      </c>
      <c r="G263" t="inlineStr"/>
      <c r="H263" t="inlineStr">
        <is>
          <t>W2993701489</t>
        </is>
      </c>
      <c r="I263" t="inlineStr">
        <is>
          <t>https://www.palgrave.com/gp/book/9789813297241</t>
        </is>
      </c>
      <c r="J263" t="inlineStr"/>
      <c r="K263" t="n">
        <v>182</v>
      </c>
      <c r="L263" t="inlineStr">
        <is>
          <t>C</t>
        </is>
      </c>
      <c r="M263" t="inlineStr">
        <is>
          <t>C2</t>
        </is>
      </c>
      <c r="N263" t="inlineStr"/>
      <c r="O263" t="inlineStr"/>
      <c r="P263" t="inlineStr">
        <is>
          <t>Not place-specific</t>
        </is>
      </c>
      <c r="Q263" t="inlineStr"/>
      <c r="R263" t="inlineStr"/>
      <c r="S263" t="inlineStr"/>
      <c r="T263" t="inlineStr">
        <is>
          <t>computational</t>
        </is>
      </c>
      <c r="U263" t="inlineStr">
        <is>
          <t>Y</t>
        </is>
      </c>
      <c r="V263" t="inlineStr"/>
      <c r="W263" t="inlineStr">
        <is>
          <t>auto: This book reflects on what it means to live as urban citizens in a world increasingly shaped by the business and organisational logics of digital platforms.</t>
        </is>
      </c>
      <c r="X263" t="inlineStr"/>
      <c r="Y263" t="inlineStr"/>
      <c r="Z263" t="inlineStr">
        <is>
          <t>high</t>
        </is>
      </c>
      <c r="AA263" t="inlineStr">
        <is>
          <t>C2:landmarks</t>
        </is>
      </c>
      <c r="AB263" t="inlineStr"/>
    </row>
    <row r="264">
      <c r="A264" t="inlineStr">
        <is>
          <t>LM00263</t>
        </is>
      </c>
      <c r="B264" t="inlineStr">
        <is>
          <t>Does Sharing Mean Caring? Regulating Innovation in the Sharing Economy</t>
        </is>
      </c>
      <c r="C264" t="n">
        <v>2015</v>
      </c>
      <c r="D264" t="inlineStr">
        <is>
          <t>Sofia Ranchordás</t>
        </is>
      </c>
      <c r="E264" t="inlineStr">
        <is>
          <t>Minnesota journal of law science &amp; technology</t>
        </is>
      </c>
      <c r="F264" t="inlineStr">
        <is>
          <t>article</t>
        </is>
      </c>
      <c r="G264" t="inlineStr">
        <is>
          <t>10.24926/15529541.3715</t>
        </is>
      </c>
      <c r="H264" t="inlineStr">
        <is>
          <t>W1938174871</t>
        </is>
      </c>
      <c r="I264" t="inlineStr">
        <is>
          <t>https://doi.org/10.24926/15529541.3715</t>
        </is>
      </c>
      <c r="J264" t="inlineStr">
        <is>
          <t>https://scholarship.law.umn.edu/cgi/viewcontent.cgi?article=1356&amp;context=mjlst</t>
        </is>
      </c>
      <c r="K264" t="n">
        <v>175</v>
      </c>
      <c r="L264" t="inlineStr">
        <is>
          <t>C</t>
        </is>
      </c>
      <c r="M264" t="inlineStr">
        <is>
          <t>C2</t>
        </is>
      </c>
      <c r="N264" t="inlineStr"/>
      <c r="O264" t="inlineStr"/>
      <c r="P264" t="inlineStr">
        <is>
          <t>Not place-specific</t>
        </is>
      </c>
      <c r="Q264" t="inlineStr"/>
      <c r="R264" t="inlineStr"/>
      <c r="S264" t="inlineStr"/>
      <c r="T264" t="inlineStr">
        <is>
          <t>unclear</t>
        </is>
      </c>
      <c r="U264" t="inlineStr">
        <is>
          <t>Y</t>
        </is>
      </c>
      <c r="V264" t="inlineStr"/>
      <c r="W264" t="inlineStr">
        <is>
          <t>auto: Sharing economy practices have become increasingly popular in recent years.From swapping systems to network transportation to private kitchens, sharing with strangers appears to be the new urban trend.Although Uber, Airbnb, and other online platforms have democratized access to a number of servic…</t>
        </is>
      </c>
      <c r="X264" t="inlineStr"/>
      <c r="Y264" t="inlineStr"/>
      <c r="Z264" t="inlineStr">
        <is>
          <t>medium</t>
        </is>
      </c>
      <c r="AA264" t="inlineStr">
        <is>
          <t>C2:landmarks</t>
        </is>
      </c>
      <c r="AB264" t="inlineStr"/>
      <c r="AC264" t="n">
        <v>45.7863</v>
      </c>
    </row>
    <row r="265">
      <c r="A265" t="inlineStr">
        <is>
          <t>LM00264</t>
        </is>
      </c>
      <c r="B265" t="inlineStr">
        <is>
          <t>A new institution on the block: On platform urbanism and Airbnb citizenship</t>
        </is>
      </c>
      <c r="C265" t="n">
        <v>2019</v>
      </c>
      <c r="D265" t="inlineStr">
        <is>
          <t>Niels van Doorn</t>
        </is>
      </c>
      <c r="E265" t="inlineStr">
        <is>
          <t>New Media &amp; Society</t>
        </is>
      </c>
      <c r="F265" t="inlineStr">
        <is>
          <t>article</t>
        </is>
      </c>
      <c r="G265" t="inlineStr">
        <is>
          <t>10.1177/1461444819884377</t>
        </is>
      </c>
      <c r="H265" t="inlineStr">
        <is>
          <t>W2982535524</t>
        </is>
      </c>
      <c r="I265" t="inlineStr">
        <is>
          <t>https://doi.org/10.1177/1461444819884377</t>
        </is>
      </c>
      <c r="J265" t="inlineStr">
        <is>
          <t>https://journals.sagepub.com/doi/pdf/10.1177/1461444819884377</t>
        </is>
      </c>
      <c r="K265" t="n">
        <v>161</v>
      </c>
      <c r="L265" t="inlineStr">
        <is>
          <t>C</t>
        </is>
      </c>
      <c r="M265" t="inlineStr">
        <is>
          <t>C2</t>
        </is>
      </c>
      <c r="N265" t="inlineStr"/>
      <c r="O265" t="inlineStr"/>
      <c r="P265" t="inlineStr">
        <is>
          <t>Not place-specific</t>
        </is>
      </c>
      <c r="Q265" t="inlineStr"/>
      <c r="R265" t="inlineStr"/>
      <c r="S265" t="inlineStr"/>
      <c r="T265" t="inlineStr">
        <is>
          <t>conceptual</t>
        </is>
      </c>
      <c r="U265" t="inlineStr">
        <is>
          <t>Y</t>
        </is>
      </c>
      <c r="V265" t="inlineStr"/>
      <c r="W265" t="inlineStr">
        <is>
          <t>auto: This article argues that Airbnb should be understood as a new urban institution that is transforming relations between market, state, and civil society actors.</t>
        </is>
      </c>
      <c r="X265" t="inlineStr"/>
      <c r="Y265" t="inlineStr"/>
      <c r="Z265" t="inlineStr">
        <is>
          <t>high</t>
        </is>
      </c>
      <c r="AA265" t="inlineStr">
        <is>
          <t>C2:landmarks</t>
        </is>
      </c>
      <c r="AB265" t="inlineStr"/>
      <c r="AC265" t="n">
        <v>25.7695</v>
      </c>
    </row>
    <row r="266">
      <c r="A266" t="inlineStr">
        <is>
          <t>LM00265</t>
        </is>
      </c>
      <c r="B266" t="inlineStr">
        <is>
          <t>Platform mobilities and the production of urban space: Toward a typology of platformization trajectories</t>
        </is>
      </c>
      <c r="C266" t="n">
        <v>2020</v>
      </c>
      <c r="D266" t="inlineStr">
        <is>
          <t>John G. Stehlin; Michael Hodson; Andrew McMeekin</t>
        </is>
      </c>
      <c r="E266" t="inlineStr">
        <is>
          <t>Environment and Planning A Economy and Space</t>
        </is>
      </c>
      <c r="F266" t="inlineStr">
        <is>
          <t>article</t>
        </is>
      </c>
      <c r="G266" t="inlineStr">
        <is>
          <t>10.1177/0308518x19896801</t>
        </is>
      </c>
      <c r="H266" t="inlineStr">
        <is>
          <t>W3005598257</t>
        </is>
      </c>
      <c r="I266" t="inlineStr">
        <is>
          <t>https://doi.org/10.1177/0308518x19896801</t>
        </is>
      </c>
      <c r="J266" t="inlineStr">
        <is>
          <t>https://research.manchester.ac.uk/en/publications/0702a0be-3891-4626-adb7-b8103d0536b3</t>
        </is>
      </c>
      <c r="K266" t="n">
        <v>155</v>
      </c>
      <c r="L266" t="inlineStr">
        <is>
          <t>C</t>
        </is>
      </c>
      <c r="M266" t="inlineStr">
        <is>
          <t>C2</t>
        </is>
      </c>
      <c r="N266" t="inlineStr"/>
      <c r="O266" t="inlineStr">
        <is>
          <t>East Asia; Europe; North America</t>
        </is>
      </c>
      <c r="P266" t="inlineStr">
        <is>
          <t>Multi-region</t>
        </is>
      </c>
      <c r="Q266" t="inlineStr"/>
      <c r="R266" t="inlineStr"/>
      <c r="S266" t="inlineStr"/>
      <c r="T266" t="inlineStr">
        <is>
          <t>unclear</t>
        </is>
      </c>
      <c r="U266" t="inlineStr">
        <is>
          <t>Y</t>
        </is>
      </c>
      <c r="V266" t="inlineStr"/>
      <c r="W266" t="inlineStr">
        <is>
          <t>auto: This paper aims to explore the driving forces and concrete expressions of this platformization of urban mobility, as a particularly diverse and volatile component of a broader platform urbanism.</t>
        </is>
      </c>
      <c r="X266" t="inlineStr">
        <is>
          <t>auto: We conclude by reflecting on implications for future research.</t>
        </is>
      </c>
      <c r="Y266" t="inlineStr"/>
      <c r="Z266" t="inlineStr">
        <is>
          <t>high</t>
        </is>
      </c>
      <c r="AA266" t="inlineStr">
        <is>
          <t>C2:landmarks</t>
        </is>
      </c>
      <c r="AB266" t="inlineStr"/>
      <c r="AC266" t="n">
        <v>26.6852</v>
      </c>
    </row>
    <row r="267">
      <c r="A267" t="inlineStr">
        <is>
          <t>LM00266</t>
        </is>
      </c>
      <c r="B267" t="inlineStr">
        <is>
          <t>Temporal arbitrage, fragmented rush, and opportunistic behaviors: The labor politics of time in the platform economy</t>
        </is>
      </c>
      <c r="C267" t="n">
        <v>2020</v>
      </c>
      <c r="D267" t="inlineStr">
        <is>
          <t>Yu-Jie Chen; Ping Sun</t>
        </is>
      </c>
      <c r="E267" t="inlineStr">
        <is>
          <t>New Media &amp; Society</t>
        </is>
      </c>
      <c r="F267" t="inlineStr">
        <is>
          <t>article</t>
        </is>
      </c>
      <c r="G267" t="inlineStr">
        <is>
          <t>10.1177/1461444820913567</t>
        </is>
      </c>
      <c r="H267" t="inlineStr">
        <is>
          <t>W3083379431</t>
        </is>
      </c>
      <c r="I267" t="inlineStr">
        <is>
          <t>https://doi.org/10.1177/1461444820913567</t>
        </is>
      </c>
      <c r="J267" t="inlineStr"/>
      <c r="K267" t="n">
        <v>152</v>
      </c>
      <c r="L267" t="inlineStr">
        <is>
          <t>C</t>
        </is>
      </c>
      <c r="M267" t="inlineStr">
        <is>
          <t>C2</t>
        </is>
      </c>
      <c r="N267" t="inlineStr"/>
      <c r="O267" t="inlineStr">
        <is>
          <t>China</t>
        </is>
      </c>
      <c r="P267" t="inlineStr">
        <is>
          <t>China &amp; East Asia</t>
        </is>
      </c>
      <c r="Q267" t="inlineStr"/>
      <c r="R267" t="inlineStr"/>
      <c r="S267" t="inlineStr"/>
      <c r="T267" t="inlineStr">
        <is>
          <t>qualitative</t>
        </is>
      </c>
      <c r="U267" t="inlineStr">
        <is>
          <t>Y</t>
        </is>
      </c>
      <c r="V267" t="inlineStr"/>
      <c r="W267" t="inlineStr">
        <is>
          <t>auto: This article examines how on-demand service workers on digital platforms make and live their time in the case of China’s food delivery industry.</t>
        </is>
      </c>
      <c r="X267" t="inlineStr">
        <is>
          <t>auto: It fills an important research gap by addressing the under-explored yet essential temporal dimensions in the expanding “just-in-time” labor force.</t>
        </is>
      </c>
      <c r="Y267" t="inlineStr"/>
      <c r="Z267" t="inlineStr">
        <is>
          <t>high</t>
        </is>
      </c>
      <c r="AA267" t="inlineStr">
        <is>
          <t>C2:landmarks</t>
        </is>
      </c>
      <c r="AB267" t="inlineStr"/>
      <c r="AC267" t="n">
        <v>18.4491</v>
      </c>
    </row>
    <row r="268">
      <c r="A268" t="inlineStr">
        <is>
          <t>LM00267</t>
        </is>
      </c>
      <c r="B268" t="inlineStr">
        <is>
          <t>The Metaverse as a virtual form of data-driven smart cities: the ethics of the hyper-connectivity, datafication, algorithmization, and platformization of urban society</t>
        </is>
      </c>
      <c r="C268" t="n">
        <v>2022</v>
      </c>
      <c r="D268" t="inlineStr">
        <is>
          <t>Simon Elias Bibri; Zaheer Allam</t>
        </is>
      </c>
      <c r="E268" t="inlineStr">
        <is>
          <t>Computational Urban Science</t>
        </is>
      </c>
      <c r="F268" t="inlineStr">
        <is>
          <t>article</t>
        </is>
      </c>
      <c r="G268" t="inlineStr">
        <is>
          <t>10.1007/s43762-022-00050-1</t>
        </is>
      </c>
      <c r="H268" t="inlineStr">
        <is>
          <t>W4288077582</t>
        </is>
      </c>
      <c r="I268" t="inlineStr">
        <is>
          <t>https://doi.org/10.1007/s43762-022-00050-1</t>
        </is>
      </c>
      <c r="J268" t="inlineStr">
        <is>
          <t>https://link.springer.com/content/pdf/10.1007/s43762-022-00050-1.pdf</t>
        </is>
      </c>
      <c r="K268" t="n">
        <v>147</v>
      </c>
      <c r="L268" t="inlineStr">
        <is>
          <t>C</t>
        </is>
      </c>
      <c r="M268" t="inlineStr">
        <is>
          <t>C2</t>
        </is>
      </c>
      <c r="N268" t="inlineStr"/>
      <c r="O268" t="inlineStr"/>
      <c r="P268" t="inlineStr">
        <is>
          <t>Not place-specific</t>
        </is>
      </c>
      <c r="Q268" t="inlineStr"/>
      <c r="R268" t="inlineStr"/>
      <c r="S268" t="inlineStr"/>
      <c r="T268" t="inlineStr">
        <is>
          <t>computational</t>
        </is>
      </c>
      <c r="U268" t="inlineStr">
        <is>
          <t>Y</t>
        </is>
      </c>
      <c r="V268" t="inlineStr">
        <is>
          <t>Y</t>
        </is>
      </c>
      <c r="W268" t="inlineStr">
        <is>
          <t>auto: This paper examines the forms, practices, and ethics of the Metaverse as a virtual form of data-driven smart cities, paying particular attention to: privacy, surveillance capitalism, dataveillance, geosurveillance, human health and wellness, and collective and cognitive echo-chambers.</t>
        </is>
      </c>
      <c r="X268" t="inlineStr"/>
      <c r="Y268" t="inlineStr"/>
      <c r="Z268" t="inlineStr">
        <is>
          <t>high</t>
        </is>
      </c>
      <c r="AA268" t="inlineStr">
        <is>
          <t>C2:landmarks; C2:recent</t>
        </is>
      </c>
      <c r="AB268" t="inlineStr"/>
      <c r="AC268" t="n">
        <v>13.6235</v>
      </c>
    </row>
    <row r="269">
      <c r="A269" t="inlineStr">
        <is>
          <t>LM00268</t>
        </is>
      </c>
      <c r="B269" t="inlineStr">
        <is>
          <t>Platform urbanism in a pandemic: Dark stores, ghost kitchens, and the logistical-urban frontier</t>
        </is>
      </c>
      <c r="C269" t="n">
        <v>2022</v>
      </c>
      <c r="D269" t="inlineStr">
        <is>
          <t>Aaron Shapiro</t>
        </is>
      </c>
      <c r="E269" t="inlineStr">
        <is>
          <t>Journal of Consumer Culture</t>
        </is>
      </c>
      <c r="F269" t="inlineStr">
        <is>
          <t>article</t>
        </is>
      </c>
      <c r="G269" t="inlineStr">
        <is>
          <t>10.1177/14695405211069983</t>
        </is>
      </c>
      <c r="H269" t="inlineStr">
        <is>
          <t>W4210399324</t>
        </is>
      </c>
      <c r="I269" t="inlineStr">
        <is>
          <t>https://doi.org/10.1177/14695405211069983</t>
        </is>
      </c>
      <c r="J269" t="inlineStr">
        <is>
          <t>https://pmc.ncbi.nlm.nih.gov/articles/PMC8808137/pdf/10.1177_14695405211069983.pdf</t>
        </is>
      </c>
      <c r="K269" t="n">
        <v>135</v>
      </c>
      <c r="L269" t="inlineStr">
        <is>
          <t>C</t>
        </is>
      </c>
      <c r="M269" t="inlineStr">
        <is>
          <t>C2</t>
        </is>
      </c>
      <c r="N269" t="inlineStr"/>
      <c r="O269" t="inlineStr"/>
      <c r="P269" t="inlineStr">
        <is>
          <t>Not place-specific</t>
        </is>
      </c>
      <c r="Q269" t="inlineStr"/>
      <c r="R269" t="inlineStr"/>
      <c r="S269" t="inlineStr"/>
      <c r="T269" t="inlineStr">
        <is>
          <t>conceptual</t>
        </is>
      </c>
      <c r="U269" t="inlineStr">
        <is>
          <t>Y</t>
        </is>
      </c>
      <c r="V269" t="inlineStr">
        <is>
          <t>Y</t>
        </is>
      </c>
      <c r="W269" t="inlineStr">
        <is>
          <t>auto: I examine two business models that feature prominently in this swell of financial optimism: dark stores and ghost kitchens.</t>
        </is>
      </c>
      <c r="X269" t="inlineStr"/>
      <c r="Y269" t="inlineStr"/>
      <c r="Z269" t="inlineStr">
        <is>
          <t>high</t>
        </is>
      </c>
      <c r="AA269" t="inlineStr">
        <is>
          <t>C2:landmarks</t>
        </is>
      </c>
      <c r="AB269" t="inlineStr"/>
      <c r="AC269" t="n">
        <v>12.2698</v>
      </c>
    </row>
    <row r="270">
      <c r="A270" t="inlineStr">
        <is>
          <t>LM00269</t>
        </is>
      </c>
      <c r="B270" t="inlineStr">
        <is>
          <t>The Metaverse as a virtual form of data-driven smart urbanism: platformization and its underlying processes, institutional dimensions, and disruptive impacts</t>
        </is>
      </c>
      <c r="C270" t="n">
        <v>2022</v>
      </c>
      <c r="D270" t="inlineStr">
        <is>
          <t>Simon Elias Bibri; Zaheer Allam; John Krogstie</t>
        </is>
      </c>
      <c r="E270" t="inlineStr">
        <is>
          <t>Computational Urban Science</t>
        </is>
      </c>
      <c r="F270" t="inlineStr">
        <is>
          <t>article</t>
        </is>
      </c>
      <c r="G270" t="inlineStr">
        <is>
          <t>10.1007/s43762-022-00051-0</t>
        </is>
      </c>
      <c r="H270" t="inlineStr">
        <is>
          <t>W4290998746</t>
        </is>
      </c>
      <c r="I270" t="inlineStr">
        <is>
          <t>https://doi.org/10.1007/s43762-022-00051-0</t>
        </is>
      </c>
      <c r="J270" t="inlineStr">
        <is>
          <t>https://link.springer.com/content/pdf/10.1007/s43762-022-00051-0.pdf</t>
        </is>
      </c>
      <c r="K270" t="n">
        <v>132</v>
      </c>
      <c r="L270" t="inlineStr">
        <is>
          <t>C</t>
        </is>
      </c>
      <c r="M270" t="inlineStr">
        <is>
          <t>C2</t>
        </is>
      </c>
      <c r="N270" t="inlineStr"/>
      <c r="O270" t="inlineStr"/>
      <c r="P270" t="inlineStr">
        <is>
          <t>Not place-specific</t>
        </is>
      </c>
      <c r="Q270" t="inlineStr"/>
      <c r="R270" t="inlineStr"/>
      <c r="S270" t="inlineStr"/>
      <c r="T270" t="inlineStr">
        <is>
          <t>qualitative</t>
        </is>
      </c>
      <c r="U270" t="inlineStr">
        <is>
          <t>Y</t>
        </is>
      </c>
      <c r="V270" t="inlineStr">
        <is>
          <t>Y</t>
        </is>
      </c>
      <c r="W270" t="inlineStr">
        <is>
          <t>auto: This study analyzes the core emerging trends enabling and driving data-driven smart cities and uses the outcome to devise a novel framework for the digital and computing processes underlying the Metaverse as a virtual form of data-driven smart cities.</t>
        </is>
      </c>
      <c r="X270" t="inlineStr"/>
      <c r="Y270" t="inlineStr"/>
      <c r="Z270" t="inlineStr">
        <is>
          <t>high</t>
        </is>
      </c>
      <c r="AA270" t="inlineStr">
        <is>
          <t>C2:landmarks; C2:recent</t>
        </is>
      </c>
      <c r="AB270" t="inlineStr"/>
      <c r="AC270" t="n">
        <v>11.7342</v>
      </c>
    </row>
    <row r="271">
      <c r="A271" t="inlineStr">
        <is>
          <t>LM00270</t>
        </is>
      </c>
      <c r="B271" t="inlineStr">
        <is>
          <t>Digital utility: Datafication, regulation, labor, and DiDi’s platformization of urban transport in China</t>
        </is>
      </c>
      <c r="C271" t="n">
        <v>2019</v>
      </c>
      <c r="D271" t="inlineStr">
        <is>
          <t>Yu-Jie Chen; Jack Linchuan Qiu</t>
        </is>
      </c>
      <c r="E271" t="inlineStr">
        <is>
          <t>Chinese Journal of Communication</t>
        </is>
      </c>
      <c r="F271" t="inlineStr">
        <is>
          <t>article</t>
        </is>
      </c>
      <c r="G271" t="inlineStr">
        <is>
          <t>10.1080/17544750.2019.1614964</t>
        </is>
      </c>
      <c r="H271" t="inlineStr">
        <is>
          <t>W2947815373</t>
        </is>
      </c>
      <c r="I271" t="inlineStr">
        <is>
          <t>https://doi.org/10.1080/17544750.2019.1614964</t>
        </is>
      </c>
      <c r="J271" t="inlineStr">
        <is>
          <t>https://figshare.com/articles/journal_contribution/Digital_Utility_Datafication_Regulation_Labor_and_DiDi_s_Platformization_of_Urban_Transport_in_China/10219505</t>
        </is>
      </c>
      <c r="K271" t="n">
        <v>129</v>
      </c>
      <c r="L271" t="inlineStr">
        <is>
          <t>C</t>
        </is>
      </c>
      <c r="M271" t="inlineStr">
        <is>
          <t>C2</t>
        </is>
      </c>
      <c r="N271" t="inlineStr"/>
      <c r="O271" t="inlineStr">
        <is>
          <t>China</t>
        </is>
      </c>
      <c r="P271" t="inlineStr">
        <is>
          <t>China &amp; East Asia</t>
        </is>
      </c>
      <c r="Q271" t="inlineStr"/>
      <c r="R271" t="inlineStr"/>
      <c r="S271" t="inlineStr"/>
      <c r="T271" t="inlineStr">
        <is>
          <t>qualitative</t>
        </is>
      </c>
      <c r="U271" t="inlineStr">
        <is>
          <t>Y</t>
        </is>
      </c>
      <c r="V271" t="inlineStr"/>
      <c r="W271" t="inlineStr">
        <is>
          <t>auto: This article develops the critical concept of digital utility through studying the case of DiDi Chuxing and the platformization of transport services in urban China.</t>
        </is>
      </c>
      <c r="X271" t="inlineStr"/>
      <c r="Y271" t="inlineStr"/>
      <c r="Z271" t="inlineStr">
        <is>
          <t>high</t>
        </is>
      </c>
      <c r="AA271" t="inlineStr">
        <is>
          <t>C2:landmarks</t>
        </is>
      </c>
      <c r="AB271" t="inlineStr"/>
      <c r="AC271" t="n">
        <v>29.683</v>
      </c>
    </row>
    <row r="272">
      <c r="A272" t="inlineStr">
        <is>
          <t>LM00271</t>
        </is>
      </c>
      <c r="B272" t="inlineStr">
        <is>
          <t>Platform urbanism and the Chinese smart city: the co-production and territorialisation of Hangzhou City Brain</t>
        </is>
      </c>
      <c r="C272" t="n">
        <v>2020</v>
      </c>
      <c r="D272" t="inlineStr">
        <is>
          <t>Federico Caprotti; Dong Liu</t>
        </is>
      </c>
      <c r="E272" t="inlineStr">
        <is>
          <t>GeoJournal</t>
        </is>
      </c>
      <c r="F272" t="inlineStr">
        <is>
          <t>article</t>
        </is>
      </c>
      <c r="G272" t="inlineStr">
        <is>
          <t>10.1007/s10708-020-10320-2</t>
        </is>
      </c>
      <c r="H272" t="inlineStr">
        <is>
          <t>W3093678459</t>
        </is>
      </c>
      <c r="I272" t="inlineStr">
        <is>
          <t>https://doi.org/10.1007/s10708-020-10320-2</t>
        </is>
      </c>
      <c r="J272" t="inlineStr">
        <is>
          <t>https://link.springer.com/content/pdf/10.1007/s10708-020-10320-2.pdf</t>
        </is>
      </c>
      <c r="K272" t="n">
        <v>128</v>
      </c>
      <c r="L272" t="inlineStr">
        <is>
          <t>C</t>
        </is>
      </c>
      <c r="M272" t="inlineStr">
        <is>
          <t>C2</t>
        </is>
      </c>
      <c r="N272" t="inlineStr"/>
      <c r="O272" t="inlineStr">
        <is>
          <t>China; Hangzhou</t>
        </is>
      </c>
      <c r="P272" t="inlineStr">
        <is>
          <t>China &amp; East Asia</t>
        </is>
      </c>
      <c r="Q272" t="inlineStr"/>
      <c r="R272" t="inlineStr"/>
      <c r="S272" t="inlineStr"/>
      <c r="T272" t="inlineStr">
        <is>
          <t>unclear</t>
        </is>
      </c>
      <c r="U272" t="inlineStr">
        <is>
          <t>Y</t>
        </is>
      </c>
      <c r="V272" t="inlineStr"/>
      <c r="W272" t="inlineStr"/>
      <c r="X272" t="inlineStr"/>
      <c r="Y272" t="inlineStr"/>
      <c r="Z272" t="inlineStr">
        <is>
          <t>low</t>
        </is>
      </c>
      <c r="AA272" t="inlineStr">
        <is>
          <t>C2:landmarks</t>
        </is>
      </c>
      <c r="AB272" t="inlineStr"/>
      <c r="AC272" t="n">
        <v>6.4909</v>
      </c>
    </row>
    <row r="273">
      <c r="A273" t="inlineStr">
        <is>
          <t>LM00272</t>
        </is>
      </c>
      <c r="B273" t="inlineStr">
        <is>
          <t>Beyond the smart city: a typology of platform urbanism</t>
        </is>
      </c>
      <c r="C273" t="n">
        <v>2022</v>
      </c>
      <c r="D273" t="inlineStr">
        <is>
          <t>Federico Caprotti; I-Chun Catherine Chang; Simon Joss</t>
        </is>
      </c>
      <c r="E273" t="inlineStr">
        <is>
          <t>Urban Transformations</t>
        </is>
      </c>
      <c r="F273" t="inlineStr">
        <is>
          <t>article</t>
        </is>
      </c>
      <c r="G273" t="inlineStr">
        <is>
          <t>10.1186/s42854-022-00033-9</t>
        </is>
      </c>
      <c r="H273" t="inlineStr">
        <is>
          <t>W4220722580</t>
        </is>
      </c>
      <c r="I273" t="inlineStr">
        <is>
          <t>https://doi.org/10.1186/s42854-022-00033-9</t>
        </is>
      </c>
      <c r="J273" t="inlineStr">
        <is>
          <t>https://urbantransformations.biomedcentral.com/track/pdf/10.1186/s42854-022-00033-9</t>
        </is>
      </c>
      <c r="K273" t="n">
        <v>127</v>
      </c>
      <c r="L273" t="inlineStr">
        <is>
          <t>C</t>
        </is>
      </c>
      <c r="M273" t="inlineStr">
        <is>
          <t>C2</t>
        </is>
      </c>
      <c r="N273" t="inlineStr"/>
      <c r="O273" t="inlineStr"/>
      <c r="P273" t="inlineStr">
        <is>
          <t>Not place-specific</t>
        </is>
      </c>
      <c r="Q273" t="inlineStr"/>
      <c r="R273" t="inlineStr"/>
      <c r="S273" t="inlineStr"/>
      <c r="T273" t="inlineStr">
        <is>
          <t>conceptual</t>
        </is>
      </c>
      <c r="U273" t="inlineStr">
        <is>
          <t>Y</t>
        </is>
      </c>
      <c r="V273" t="inlineStr">
        <is>
          <t>Y</t>
        </is>
      </c>
      <c r="W273" t="inlineStr">
        <is>
          <t>auto: In the paper, we argue that platform urbanism is an evolution of the smart city, constituted by novel, digitally-enabled socio-technical assemblages that enable new forms of social, economic and political intermediation.</t>
        </is>
      </c>
      <c r="X273" t="inlineStr">
        <is>
          <t>auto: We further outline several directions for future research on platform urbanism, specifically: a.) the need to critically investigate new power geometries of corporate, legal and regulatory alignments; b.) how platform urbanism may be expressed in, and affect, cities in the Global South; c.) how it may need to be critically engaged with in regard to its development in response to emergent events such as the Covid-19 pandemic; and d.) how it may shape visions of the current and future city.</t>
        </is>
      </c>
      <c r="Y273" t="inlineStr"/>
      <c r="Z273" t="inlineStr">
        <is>
          <t>high</t>
        </is>
      </c>
      <c r="AA273" t="inlineStr">
        <is>
          <t>C2:landmarks; C2:recent</t>
        </is>
      </c>
      <c r="AB273" t="inlineStr"/>
      <c r="AC273" t="n">
        <v>8.6386</v>
      </c>
    </row>
    <row r="274">
      <c r="A274" t="inlineStr">
        <is>
          <t>LM00273</t>
        </is>
      </c>
      <c r="B274" t="inlineStr">
        <is>
          <t>Platform methods: studying platform urbanism outside the black box</t>
        </is>
      </c>
      <c r="C274" t="n">
        <v>2020</v>
      </c>
      <c r="D274" t="inlineStr">
        <is>
          <t>Desiree Fields; David Bissell; Rachel Macrorie</t>
        </is>
      </c>
      <c r="E274" t="inlineStr">
        <is>
          <t>Urban Geography</t>
        </is>
      </c>
      <c r="F274" t="inlineStr">
        <is>
          <t>article</t>
        </is>
      </c>
      <c r="G274" t="inlineStr">
        <is>
          <t>10.1080/02723638.2020.1730642</t>
        </is>
      </c>
      <c r="H274" t="inlineStr">
        <is>
          <t>W3007165087</t>
        </is>
      </c>
      <c r="I274" t="inlineStr">
        <is>
          <t>https://doi.org/10.1080/02723638.2020.1730642</t>
        </is>
      </c>
      <c r="J274" t="inlineStr">
        <is>
          <t>http://hdl.handle.net/11343/273473</t>
        </is>
      </c>
      <c r="K274" t="n">
        <v>122</v>
      </c>
      <c r="L274" t="inlineStr">
        <is>
          <t>C</t>
        </is>
      </c>
      <c r="M274" t="inlineStr">
        <is>
          <t>C2</t>
        </is>
      </c>
      <c r="N274" t="inlineStr"/>
      <c r="O274" t="inlineStr"/>
      <c r="P274" t="inlineStr">
        <is>
          <t>Not place-specific</t>
        </is>
      </c>
      <c r="Q274" t="inlineStr"/>
      <c r="R274" t="inlineStr"/>
      <c r="S274" t="inlineStr"/>
      <c r="T274" t="inlineStr">
        <is>
          <t>conceptual</t>
        </is>
      </c>
      <c r="U274" t="inlineStr">
        <is>
          <t>Y</t>
        </is>
      </c>
      <c r="V274" t="inlineStr"/>
      <c r="W274" t="inlineStr">
        <is>
          <t>auto: This intervention reflects on critical perspectives on algorithms and geographical work on the urban-digital interface to highlight a set of approaches for studying the politics of platform urbanism.</t>
        </is>
      </c>
      <c r="X274" t="inlineStr"/>
      <c r="Y274" t="inlineStr"/>
      <c r="Z274" t="inlineStr">
        <is>
          <t>high</t>
        </is>
      </c>
      <c r="AA274" t="inlineStr">
        <is>
          <t>C2:landmarks</t>
        </is>
      </c>
      <c r="AB274" t="inlineStr"/>
      <c r="AC274" t="n">
        <v>8.8276</v>
      </c>
    </row>
    <row r="275">
      <c r="A275" t="inlineStr">
        <is>
          <t>LM00274</t>
        </is>
      </c>
      <c r="B275" t="inlineStr">
        <is>
          <t>Who owns the future city? Phases of technological urbanism and shifts in sovereignty</t>
        </is>
      </c>
      <c r="C275" t="n">
        <v>2020</v>
      </c>
      <c r="D275" t="inlineStr">
        <is>
          <t>Jathan Sadowski</t>
        </is>
      </c>
      <c r="E275" t="inlineStr">
        <is>
          <t>Urban Studies</t>
        </is>
      </c>
      <c r="F275" t="inlineStr">
        <is>
          <t>article</t>
        </is>
      </c>
      <c r="G275" t="inlineStr">
        <is>
          <t>10.1177/0042098020913427</t>
        </is>
      </c>
      <c r="H275" t="inlineStr">
        <is>
          <t>W3031832953</t>
        </is>
      </c>
      <c r="I275" t="inlineStr">
        <is>
          <t>https://doi.org/10.1177/0042098020913427</t>
        </is>
      </c>
      <c r="J275" t="inlineStr"/>
      <c r="K275" t="n">
        <v>115</v>
      </c>
      <c r="L275" t="inlineStr">
        <is>
          <t>C</t>
        </is>
      </c>
      <c r="M275" t="inlineStr">
        <is>
          <t>C2</t>
        </is>
      </c>
      <c r="N275" t="inlineStr"/>
      <c r="O275" t="inlineStr"/>
      <c r="P275" t="inlineStr">
        <is>
          <t>Not place-specific</t>
        </is>
      </c>
      <c r="Q275" t="inlineStr"/>
      <c r="R275" t="inlineStr"/>
      <c r="S275" t="inlineStr"/>
      <c r="T275" t="inlineStr">
        <is>
          <t>conceptual</t>
        </is>
      </c>
      <c r="U275" t="inlineStr">
        <is>
          <t>Y</t>
        </is>
      </c>
      <c r="V275" t="inlineStr"/>
      <c r="W275" t="inlineStr">
        <is>
          <t>auto: This critical commentary aims to outline a new framework for analysing the urban political economic dynamics currently unfolding through different combinations of power, technology and capital in cities.</t>
        </is>
      </c>
      <c r="X275" t="inlineStr"/>
      <c r="Y275" t="inlineStr"/>
      <c r="Z275" t="inlineStr">
        <is>
          <t>medium</t>
        </is>
      </c>
      <c r="AA275" t="inlineStr">
        <is>
          <t>C2:landmarks</t>
        </is>
      </c>
      <c r="AB275" t="inlineStr"/>
      <c r="AC275" t="n">
        <v>7.5294</v>
      </c>
    </row>
    <row r="276">
      <c r="A276" t="inlineStr">
        <is>
          <t>LM00275</t>
        </is>
      </c>
      <c r="B276" t="inlineStr">
        <is>
          <t>Artificial intelligence of things for synergizing smarter eco-city brain, metabolism, and platform: Pioneering data-driven environmental governance</t>
        </is>
      </c>
      <c r="C276" t="n">
        <v>2024</v>
      </c>
      <c r="D276" t="inlineStr">
        <is>
          <t>Simon Elias Bibri; Jeffrey R. Huang; John Krogstie</t>
        </is>
      </c>
      <c r="E276" t="inlineStr">
        <is>
          <t>Sustainable Cities and Society</t>
        </is>
      </c>
      <c r="F276" t="inlineStr">
        <is>
          <t>article</t>
        </is>
      </c>
      <c r="G276" t="inlineStr">
        <is>
          <t>10.1016/j.scs.2024.105516</t>
        </is>
      </c>
      <c r="H276" t="inlineStr">
        <is>
          <t>W4396768445</t>
        </is>
      </c>
      <c r="I276" t="inlineStr">
        <is>
          <t>https://doi.org/10.1016/j.scs.2024.105516</t>
        </is>
      </c>
      <c r="J276" t="inlineStr">
        <is>
          <t>https://doi.org/10.1016/j.scs.2024.105516</t>
        </is>
      </c>
      <c r="K276" t="n">
        <v>109</v>
      </c>
      <c r="L276" t="inlineStr">
        <is>
          <t>C</t>
        </is>
      </c>
      <c r="M276" t="inlineStr">
        <is>
          <t>C2</t>
        </is>
      </c>
      <c r="N276" t="inlineStr"/>
      <c r="O276" t="inlineStr"/>
      <c r="P276" t="inlineStr">
        <is>
          <t>Not place-specific</t>
        </is>
      </c>
      <c r="Q276" t="inlineStr"/>
      <c r="R276" t="inlineStr"/>
      <c r="S276" t="inlineStr"/>
      <c r="T276" t="inlineStr">
        <is>
          <t>review</t>
        </is>
      </c>
      <c r="U276" t="inlineStr">
        <is>
          <t>Y</t>
        </is>
      </c>
      <c r="V276" t="inlineStr">
        <is>
          <t>Y</t>
        </is>
      </c>
      <c r="W276" t="inlineStr">
        <is>
          <t>auto: To fill this gap, this study aims to explore the linchpin potential of AIoT in seamlessly integrating these data-driven governance systems to advance environmental governance in smarter eco-cities.</t>
        </is>
      </c>
      <c r="X276" t="inlineStr">
        <is>
          <t>auto: However, despite significant progress in understanding the distinct roles of emerging data-driven governance systems—namely City Brain, Smart Urban Metabolism (SUM), and platform urbanism—enabled by Artificial Intelligence of Things (AIoT), a critical gap persists in systematically exploring the untapped potential stemming from their synergistic and collaborative integration in the context of environmental urban governance. | To fill this gap, this study aims to explore the linchpin potential…</t>
        </is>
      </c>
      <c r="Y276" t="inlineStr"/>
      <c r="Z276" t="inlineStr">
        <is>
          <t>high</t>
        </is>
      </c>
      <c r="AA276" t="inlineStr">
        <is>
          <t>C2:landmarks</t>
        </is>
      </c>
      <c r="AB276" t="inlineStr"/>
      <c r="AC276" t="n">
        <v>19.1106</v>
      </c>
    </row>
    <row r="277">
      <c r="A277" t="inlineStr">
        <is>
          <t>LM00276</t>
        </is>
      </c>
      <c r="B277" t="inlineStr">
        <is>
          <t>Affective platform urbanism: Changing habits of digital on-demand consumption</t>
        </is>
      </c>
      <c r="C277" t="n">
        <v>2020</v>
      </c>
      <c r="D277" t="inlineStr">
        <is>
          <t>David Bissell</t>
        </is>
      </c>
      <c r="E277" t="inlineStr">
        <is>
          <t>Geoforum</t>
        </is>
      </c>
      <c r="F277" t="inlineStr">
        <is>
          <t>article</t>
        </is>
      </c>
      <c r="G277" t="inlineStr">
        <is>
          <t>10.1016/j.geoforum.2020.06.026</t>
        </is>
      </c>
      <c r="H277" t="inlineStr">
        <is>
          <t>W3043305912</t>
        </is>
      </c>
      <c r="I277" t="inlineStr">
        <is>
          <t>https://doi.org/10.1016/j.geoforum.2020.06.026</t>
        </is>
      </c>
      <c r="J277" t="inlineStr"/>
      <c r="K277" t="n">
        <v>102</v>
      </c>
      <c r="L277" t="inlineStr">
        <is>
          <t>C</t>
        </is>
      </c>
      <c r="M277" t="inlineStr">
        <is>
          <t>C2</t>
        </is>
      </c>
      <c r="N277" t="inlineStr"/>
      <c r="O277" t="inlineStr"/>
      <c r="P277" t="inlineStr">
        <is>
          <t>Not place-specific</t>
        </is>
      </c>
      <c r="Q277" t="inlineStr"/>
      <c r="R277" t="inlineStr"/>
      <c r="S277" t="inlineStr"/>
      <c r="T277" t="inlineStr">
        <is>
          <t>unclear</t>
        </is>
      </c>
      <c r="U277" t="inlineStr">
        <is>
          <t>Y</t>
        </is>
      </c>
      <c r="V277" t="inlineStr"/>
      <c r="W277" t="inlineStr"/>
      <c r="X277" t="inlineStr"/>
      <c r="Y277" t="inlineStr"/>
      <c r="Z277" t="inlineStr">
        <is>
          <t>low</t>
        </is>
      </c>
      <c r="AA277" t="inlineStr">
        <is>
          <t>C2:landmarks</t>
        </is>
      </c>
      <c r="AB277" t="inlineStr"/>
      <c r="AC277" t="n">
        <v>14.8251</v>
      </c>
    </row>
    <row r="278">
      <c r="A278" t="inlineStr">
        <is>
          <t>LM00277</t>
        </is>
      </c>
      <c r="B278" t="inlineStr">
        <is>
          <t>Urban Operating Systems</t>
        </is>
      </c>
      <c r="C278" t="n">
        <v>2020</v>
      </c>
      <c r="D278" t="inlineStr">
        <is>
          <t>Andrés Luque‐Ayala; Simon Marvin</t>
        </is>
      </c>
      <c r="E278" t="inlineStr">
        <is>
          <t>The MIT Press eBooks</t>
        </is>
      </c>
      <c r="F278" t="inlineStr">
        <is>
          <t>book</t>
        </is>
      </c>
      <c r="G278" t="inlineStr">
        <is>
          <t>10.7551/mitpress/10869.001.0001</t>
        </is>
      </c>
      <c r="H278" t="inlineStr">
        <is>
          <t>W4253840475</t>
        </is>
      </c>
      <c r="I278" t="inlineStr">
        <is>
          <t>https://doi.org/10.7551/mitpress/10869.001.0001</t>
        </is>
      </c>
      <c r="J278" t="inlineStr">
        <is>
          <t>https://doi.org/10.7551/mitpress/10869.001.0001</t>
        </is>
      </c>
      <c r="K278" t="n">
        <v>97</v>
      </c>
      <c r="L278" t="inlineStr">
        <is>
          <t>C</t>
        </is>
      </c>
      <c r="M278" t="inlineStr">
        <is>
          <t>C2</t>
        </is>
      </c>
      <c r="N278" t="inlineStr"/>
      <c r="O278" t="inlineStr">
        <is>
          <t>European; United States</t>
        </is>
      </c>
      <c r="P278" t="inlineStr">
        <is>
          <t>Global North</t>
        </is>
      </c>
      <c r="Q278" t="inlineStr"/>
      <c r="R278" t="inlineStr"/>
      <c r="S278" t="inlineStr"/>
      <c r="T278" t="inlineStr">
        <is>
          <t>computational</t>
        </is>
      </c>
      <c r="U278" t="inlineStr">
        <is>
          <t>Y</t>
        </is>
      </c>
      <c r="V278" t="inlineStr"/>
      <c r="W278" t="inlineStr">
        <is>
          <t>auto: Subjecting this claim to critical scrutiny, in this book, Andrés Luque-Ayala and Simon Marvin examine the cultural, historical, and contemporary contexts in which urban computational logics have emerged.</t>
        </is>
      </c>
      <c r="X278" t="inlineStr"/>
      <c r="Y278" t="inlineStr"/>
      <c r="Z278" t="inlineStr">
        <is>
          <t>medium</t>
        </is>
      </c>
      <c r="AA278" t="inlineStr">
        <is>
          <t>C2:landmarks</t>
        </is>
      </c>
      <c r="AB278" t="inlineStr"/>
      <c r="AC278" t="n">
        <v>11.3226</v>
      </c>
    </row>
    <row r="279">
      <c r="A279" t="inlineStr">
        <is>
          <t>LM00278</t>
        </is>
      </c>
      <c r="B279" t="inlineStr">
        <is>
          <t>The Evolution of City-as-a-Platform: Smart Urban Development Governance with Collective Knowledge-Based Platform Urbanism</t>
        </is>
      </c>
      <c r="C279" t="n">
        <v>2021</v>
      </c>
      <c r="D279" t="inlineStr">
        <is>
          <t>Palmyra Farinazzo Reis Repette; Jamile Sabatini‐Marques; Tan Yiğitcanlar; Denílson Sell; Eduardo Costa</t>
        </is>
      </c>
      <c r="E279" t="inlineStr">
        <is>
          <t>Land</t>
        </is>
      </c>
      <c r="F279" t="inlineStr">
        <is>
          <t>article</t>
        </is>
      </c>
      <c r="G279" t="inlineStr">
        <is>
          <t>10.3390/land10010033</t>
        </is>
      </c>
      <c r="H279" t="inlineStr">
        <is>
          <t>W3119938775</t>
        </is>
      </c>
      <c r="I279" t="inlineStr">
        <is>
          <t>https://doi.org/10.3390/land10010033</t>
        </is>
      </c>
      <c r="J279" t="inlineStr">
        <is>
          <t>https://www.mdpi.com/2073-445X/10/1/33/pdf?version=1609575373</t>
        </is>
      </c>
      <c r="K279" t="n">
        <v>94</v>
      </c>
      <c r="L279" t="inlineStr">
        <is>
          <t>C</t>
        </is>
      </c>
      <c r="M279" t="inlineStr">
        <is>
          <t>C2</t>
        </is>
      </c>
      <c r="N279" t="inlineStr"/>
      <c r="O279" t="inlineStr"/>
      <c r="P279" t="inlineStr">
        <is>
          <t>Not place-specific</t>
        </is>
      </c>
      <c r="Q279" t="inlineStr"/>
      <c r="R279" t="inlineStr"/>
      <c r="S279" t="inlineStr"/>
      <c r="T279" t="inlineStr">
        <is>
          <t>unclear</t>
        </is>
      </c>
      <c r="U279" t="inlineStr">
        <is>
          <t>Y</t>
        </is>
      </c>
      <c r="V279" t="inlineStr"/>
      <c r="W279" t="inlineStr">
        <is>
          <t>auto: With these developments in mind, this study aims to tackle the question of “How can platform urbanism support local governance efforts in the development of smarter cities?” Through an integrative review of journal articles published during the last decade, the evolution of City-as-a-Platform was…</t>
        </is>
      </c>
      <c r="X279" t="inlineStr"/>
      <c r="Y279" t="inlineStr"/>
      <c r="Z279" t="inlineStr">
        <is>
          <t>high</t>
        </is>
      </c>
      <c r="AA279" t="inlineStr">
        <is>
          <t>C2:landmarks</t>
        </is>
      </c>
      <c r="AB279" t="inlineStr"/>
      <c r="AC279" t="n">
        <v>7.0945</v>
      </c>
    </row>
    <row r="280">
      <c r="A280" t="inlineStr">
        <is>
          <t>LM00279</t>
        </is>
      </c>
      <c r="B280" t="inlineStr">
        <is>
          <t>Navigating platform urbanism</t>
        </is>
      </c>
      <c r="C280" t="n">
        <v>2018</v>
      </c>
      <c r="D280" t="inlineStr">
        <is>
          <t>Shenja van der Graaf; Pieter Ballon</t>
        </is>
      </c>
      <c r="E280" t="inlineStr">
        <is>
          <t>Technological Forecasting and Social Change</t>
        </is>
      </c>
      <c r="F280" t="inlineStr">
        <is>
          <t>article</t>
        </is>
      </c>
      <c r="G280" t="inlineStr">
        <is>
          <t>10.1016/j.techfore.2018.07.027</t>
        </is>
      </c>
      <c r="H280" t="inlineStr">
        <is>
          <t>W2884655586</t>
        </is>
      </c>
      <c r="I280" t="inlineStr">
        <is>
          <t>https://doi.org/10.1016/j.techfore.2018.07.027</t>
        </is>
      </c>
      <c r="J280" t="inlineStr"/>
      <c r="K280" t="n">
        <v>92</v>
      </c>
      <c r="L280" t="inlineStr">
        <is>
          <t>C</t>
        </is>
      </c>
      <c r="M280" t="inlineStr">
        <is>
          <t>C2</t>
        </is>
      </c>
      <c r="N280" t="inlineStr"/>
      <c r="O280" t="inlineStr"/>
      <c r="P280" t="inlineStr">
        <is>
          <t>Not place-specific</t>
        </is>
      </c>
      <c r="Q280" t="inlineStr"/>
      <c r="R280" t="inlineStr"/>
      <c r="S280" t="inlineStr"/>
      <c r="T280" t="inlineStr">
        <is>
          <t>unclear</t>
        </is>
      </c>
      <c r="U280" t="inlineStr">
        <is>
          <t>Y</t>
        </is>
      </c>
      <c r="V280" t="inlineStr"/>
      <c r="W280" t="inlineStr"/>
      <c r="X280" t="inlineStr"/>
      <c r="Y280" t="inlineStr"/>
      <c r="Z280" t="inlineStr">
        <is>
          <t>low</t>
        </is>
      </c>
      <c r="AA280" t="inlineStr">
        <is>
          <t>C2:landmarks</t>
        </is>
      </c>
      <c r="AB280" t="inlineStr"/>
      <c r="AC280" t="n">
        <v>7.2931</v>
      </c>
    </row>
    <row r="281">
      <c r="A281" t="inlineStr">
        <is>
          <t>LM00280</t>
        </is>
      </c>
      <c r="B281" t="inlineStr">
        <is>
          <t>Platform governance and the rural–urban divide: Sellers' responses to design change</t>
        </is>
      </c>
      <c r="C281" t="n">
        <v>2020</v>
      </c>
      <c r="D281" t="inlineStr">
        <is>
          <t>Wesley Wu-Yi Koo; Charles Eric Eesley</t>
        </is>
      </c>
      <c r="E281" t="inlineStr">
        <is>
          <t>Strategic Management Journal</t>
        </is>
      </c>
      <c r="F281" t="inlineStr">
        <is>
          <t>article</t>
        </is>
      </c>
      <c r="G281" t="inlineStr">
        <is>
          <t>10.1002/smj.3259</t>
        </is>
      </c>
      <c r="H281" t="inlineStr">
        <is>
          <t>W3111677101</t>
        </is>
      </c>
      <c r="I281" t="inlineStr">
        <is>
          <t>https://doi.org/10.1002/smj.3259</t>
        </is>
      </c>
      <c r="J281" t="inlineStr"/>
      <c r="K281" t="n">
        <v>92</v>
      </c>
      <c r="L281" t="inlineStr">
        <is>
          <t>C</t>
        </is>
      </c>
      <c r="M281" t="inlineStr">
        <is>
          <t>C2</t>
        </is>
      </c>
      <c r="N281" t="inlineStr"/>
      <c r="O281" t="inlineStr"/>
      <c r="P281" t="inlineStr">
        <is>
          <t>Not place-specific</t>
        </is>
      </c>
      <c r="Q281" t="inlineStr"/>
      <c r="R281" t="inlineStr"/>
      <c r="S281" t="inlineStr"/>
      <c r="T281" t="inlineStr">
        <is>
          <t>unclear</t>
        </is>
      </c>
      <c r="U281" t="inlineStr">
        <is>
          <t>Y</t>
        </is>
      </c>
      <c r="V281" t="inlineStr"/>
      <c r="W281" t="inlineStr">
        <is>
          <t>auto: This study shows that sellers' local heterogeneity generates equivocal responses and carries unintended consequences for platform governance.</t>
        </is>
      </c>
      <c r="X281" t="inlineStr">
        <is>
          <t>auto: Using data from a leading e‐commerce platform, we find that relative to urban sellers, rural sellers were particularly poor at adjusting to a major design change, resulting in a persistent performance gap. | We attribute these misaligned responses to rural sellers' lack of local access to rich information.</t>
        </is>
      </c>
      <c r="Y281" t="inlineStr"/>
      <c r="Z281" t="inlineStr">
        <is>
          <t>medium</t>
        </is>
      </c>
      <c r="AA281" t="inlineStr">
        <is>
          <t>C2:landmarks</t>
        </is>
      </c>
      <c r="AB281" t="inlineStr"/>
      <c r="AC281" t="n">
        <v>8.812200000000001</v>
      </c>
    </row>
    <row r="282">
      <c r="A282" t="inlineStr">
        <is>
          <t>LM00281</t>
        </is>
      </c>
      <c r="B282" t="inlineStr">
        <is>
          <t>Urbanism Under Google: Lessons from Sidewalk Toronto</t>
        </is>
      </c>
      <c r="C282" t="n">
        <v>2019</v>
      </c>
      <c r="D282" t="inlineStr">
        <is>
          <t>Ellen Goodman; Julia Powles</t>
        </is>
      </c>
      <c r="E282" t="inlineStr">
        <is>
          <t>SSRN Electronic Journal</t>
        </is>
      </c>
      <c r="F282" t="inlineStr">
        <is>
          <t>preprint</t>
        </is>
      </c>
      <c r="G282" t="inlineStr">
        <is>
          <t>10.2139/ssrn.3390610</t>
        </is>
      </c>
      <c r="H282" t="inlineStr">
        <is>
          <t>W2947538565</t>
        </is>
      </c>
      <c r="I282" t="inlineStr">
        <is>
          <t>https://doi.org/10.2139/ssrn.3390610</t>
        </is>
      </c>
      <c r="J282" t="inlineStr">
        <is>
          <t>https://doi.org/10.2139/ssrn.3390610</t>
        </is>
      </c>
      <c r="K282" t="n">
        <v>91</v>
      </c>
      <c r="L282" t="inlineStr">
        <is>
          <t>C</t>
        </is>
      </c>
      <c r="M282" t="inlineStr">
        <is>
          <t>C2</t>
        </is>
      </c>
      <c r="N282" t="inlineStr"/>
      <c r="O282" t="inlineStr">
        <is>
          <t>Toronto</t>
        </is>
      </c>
      <c r="P282" t="inlineStr">
        <is>
          <t>Global North</t>
        </is>
      </c>
      <c r="Q282" t="inlineStr"/>
      <c r="R282" t="inlineStr"/>
      <c r="S282" t="inlineStr"/>
      <c r="T282" t="inlineStr">
        <is>
          <t>unclear</t>
        </is>
      </c>
      <c r="U282" t="inlineStr">
        <is>
          <t>Y</t>
        </is>
      </c>
      <c r="V282" t="inlineStr"/>
      <c r="W282" t="inlineStr"/>
      <c r="X282" t="inlineStr"/>
      <c r="Y282" t="inlineStr"/>
      <c r="Z282" t="inlineStr">
        <is>
          <t>low</t>
        </is>
      </c>
      <c r="AA282" t="inlineStr">
        <is>
          <t>C2:landmarks</t>
        </is>
      </c>
      <c r="AB282" t="inlineStr"/>
    </row>
    <row r="283">
      <c r="A283" t="inlineStr">
        <is>
          <t>LM00282</t>
        </is>
      </c>
      <c r="B283" t="inlineStr">
        <is>
          <t>Understanding Sensor Cities: Insights from Technology Giant Company Driven Smart Urbanism Practices</t>
        </is>
      </c>
      <c r="C283" t="n">
        <v>2020</v>
      </c>
      <c r="D283" t="inlineStr">
        <is>
          <t>Gaspare D’Amico; Pasqua L’Abbate; Wenjie Liao; Tan Yiğitcanlar; Giuseppe Ioppolo</t>
        </is>
      </c>
      <c r="E283" t="inlineStr">
        <is>
          <t>Sensors</t>
        </is>
      </c>
      <c r="F283" t="inlineStr">
        <is>
          <t>article</t>
        </is>
      </c>
      <c r="G283" t="inlineStr">
        <is>
          <t>10.3390/s20164391</t>
        </is>
      </c>
      <c r="H283" t="inlineStr">
        <is>
          <t>W3047087365</t>
        </is>
      </c>
      <c r="I283" t="inlineStr">
        <is>
          <t>https://doi.org/10.3390/s20164391</t>
        </is>
      </c>
      <c r="J283" t="inlineStr">
        <is>
          <t>https://www.mdpi.com/1424-8220/20/16/4391/pdf</t>
        </is>
      </c>
      <c r="K283" t="n">
        <v>88</v>
      </c>
      <c r="L283" t="inlineStr">
        <is>
          <t>C</t>
        </is>
      </c>
      <c r="M283" t="inlineStr">
        <is>
          <t>C2</t>
        </is>
      </c>
      <c r="N283" t="inlineStr"/>
      <c r="O283" t="inlineStr"/>
      <c r="P283" t="inlineStr">
        <is>
          <t>Not place-specific</t>
        </is>
      </c>
      <c r="Q283" t="inlineStr"/>
      <c r="R283" t="inlineStr"/>
      <c r="S283" t="inlineStr"/>
      <c r="T283" t="inlineStr">
        <is>
          <t>conceptual</t>
        </is>
      </c>
      <c r="U283" t="inlineStr">
        <is>
          <t>Y</t>
        </is>
      </c>
      <c r="V283" t="inlineStr"/>
      <c r="W283" t="inlineStr">
        <is>
          <t>auto: The data-driven approach to sustainable urban development is becoming increasingly popular among the cities across the world.</t>
        </is>
      </c>
      <c r="X283" t="inlineStr"/>
      <c r="Y283" t="inlineStr"/>
      <c r="Z283" t="inlineStr">
        <is>
          <t>medium</t>
        </is>
      </c>
      <c r="AA283" t="inlineStr">
        <is>
          <t>C2:landmarks</t>
        </is>
      </c>
      <c r="AB283" t="inlineStr"/>
      <c r="AC283" t="n">
        <v>6.3611</v>
      </c>
    </row>
    <row r="284">
      <c r="A284" t="inlineStr">
        <is>
          <t>LM00283</t>
        </is>
      </c>
      <c r="B284" t="inlineStr">
        <is>
          <t>Platform urbanism, smartphone applications and valuing data in a smart city</t>
        </is>
      </c>
      <c r="C284" t="n">
        <v>2020</v>
      </c>
      <c r="D284" t="inlineStr">
        <is>
          <t>Gillian Rose; Parvati Raghuram; Sophie Watson; Edward Wigley</t>
        </is>
      </c>
      <c r="E284" t="inlineStr">
        <is>
          <t>Transactions of the Institute of British Geographers</t>
        </is>
      </c>
      <c r="F284" t="inlineStr">
        <is>
          <t>article</t>
        </is>
      </c>
      <c r="G284" t="inlineStr">
        <is>
          <t>10.1111/tran.12400</t>
        </is>
      </c>
      <c r="H284" t="inlineStr">
        <is>
          <t>W3039732243</t>
        </is>
      </c>
      <c r="I284" t="inlineStr">
        <is>
          <t>https://doi.org/10.1111/tran.12400</t>
        </is>
      </c>
      <c r="J284" t="inlineStr">
        <is>
          <t>https://onlinelibrary.wiley.com/doi/pdfdirect/10.1111/tran.12400</t>
        </is>
      </c>
      <c r="K284" t="n">
        <v>86</v>
      </c>
      <c r="L284" t="inlineStr">
        <is>
          <t>C</t>
        </is>
      </c>
      <c r="M284" t="inlineStr">
        <is>
          <t>C2</t>
        </is>
      </c>
      <c r="N284" t="inlineStr"/>
      <c r="O284" t="inlineStr">
        <is>
          <t>Milton Keynes; United Kingdom</t>
        </is>
      </c>
      <c r="P284" t="inlineStr">
        <is>
          <t>Global North</t>
        </is>
      </c>
      <c r="Q284" t="inlineStr"/>
      <c r="R284" t="inlineStr"/>
      <c r="S284" t="inlineStr"/>
      <c r="T284" t="inlineStr">
        <is>
          <t>unclear</t>
        </is>
      </c>
      <c r="U284" t="inlineStr">
        <is>
          <t>Y</t>
        </is>
      </c>
      <c r="V284" t="inlineStr"/>
      <c r="W284" t="inlineStr">
        <is>
          <t>auto: This paper looks at the design of a group of eight smartphone apps by a range of different actors in Milton Keynes, a small UK city with a large number of smart city initiatives.</t>
        </is>
      </c>
      <c r="X284" t="inlineStr"/>
      <c r="Y284" t="inlineStr"/>
      <c r="Z284" t="inlineStr">
        <is>
          <t>high</t>
        </is>
      </c>
      <c r="AA284" t="inlineStr">
        <is>
          <t>C2:landmarks</t>
        </is>
      </c>
      <c r="AB284" t="inlineStr"/>
      <c r="AC284" t="n">
        <v>6.4909</v>
      </c>
    </row>
    <row r="285">
      <c r="A285" t="inlineStr">
        <is>
          <t>LM00284</t>
        </is>
      </c>
      <c r="B285" t="inlineStr">
        <is>
          <t>Biopolitical platforms: the perverse virtues of digital labour</t>
        </is>
      </c>
      <c r="C285" t="n">
        <v>2021</v>
      </c>
      <c r="D285" t="inlineStr">
        <is>
          <t>Karen Gregory; Jathan Sadowski</t>
        </is>
      </c>
      <c r="E285" t="inlineStr">
        <is>
          <t>Journal of Cultural Economy</t>
        </is>
      </c>
      <c r="F285" t="inlineStr">
        <is>
          <t>article</t>
        </is>
      </c>
      <c r="G285" t="inlineStr">
        <is>
          <t>10.1080/17530350.2021.1901766</t>
        </is>
      </c>
      <c r="H285" t="inlineStr">
        <is>
          <t>W3154347224</t>
        </is>
      </c>
      <c r="I285" t="inlineStr">
        <is>
          <t>https://doi.org/10.1080/17530350.2021.1901766</t>
        </is>
      </c>
      <c r="J285" t="inlineStr"/>
      <c r="K285" t="n">
        <v>85</v>
      </c>
      <c r="L285" t="inlineStr">
        <is>
          <t>C</t>
        </is>
      </c>
      <c r="M285" t="inlineStr">
        <is>
          <t>C2</t>
        </is>
      </c>
      <c r="N285" t="inlineStr"/>
      <c r="O285" t="inlineStr"/>
      <c r="P285" t="inlineStr">
        <is>
          <t>Not place-specific</t>
        </is>
      </c>
      <c r="Q285" t="inlineStr"/>
      <c r="R285" t="inlineStr"/>
      <c r="S285" t="inlineStr"/>
      <c r="T285" t="inlineStr">
        <is>
          <t>unclear</t>
        </is>
      </c>
      <c r="U285" t="inlineStr">
        <is>
          <t>Y</t>
        </is>
      </c>
      <c r="V285" t="inlineStr"/>
      <c r="W285" t="inlineStr">
        <is>
          <t>auto: By theorising empirical research with people who work as food delivery workers for Deliveroo, we show how platforms, specifically those that provide services in urban places, encourage, even require, workers to develop a form of human capital based on three perverse virtues that make them more pr…</t>
        </is>
      </c>
      <c r="X285" t="inlineStr"/>
      <c r="Y285" t="inlineStr"/>
      <c r="Z285" t="inlineStr">
        <is>
          <t>medium</t>
        </is>
      </c>
      <c r="AA285" t="inlineStr">
        <is>
          <t>C2:landmarks</t>
        </is>
      </c>
      <c r="AB285" t="inlineStr"/>
      <c r="AC285" t="n">
        <v>18.7134</v>
      </c>
    </row>
    <row r="286">
      <c r="A286" t="inlineStr">
        <is>
          <t>LM00285</t>
        </is>
      </c>
      <c r="B286" t="inlineStr">
        <is>
          <t># BlockSidewalk to Barcelona: Technological sovereignty and the social license to operate smart cities</t>
        </is>
      </c>
      <c r="C286" t="n">
        <v>2020</v>
      </c>
      <c r="D286" t="inlineStr">
        <is>
          <t>Monique Mann; Peta Mitchell; Marcus Foth; Irina Anastasiu</t>
        </is>
      </c>
      <c r="E286" t="inlineStr">
        <is>
          <t>Journal of the Association for Information Science and Technology</t>
        </is>
      </c>
      <c r="F286" t="inlineStr">
        <is>
          <t>article</t>
        </is>
      </c>
      <c r="G286" t="inlineStr">
        <is>
          <t>10.1002/asi.24387</t>
        </is>
      </c>
      <c r="H286" t="inlineStr">
        <is>
          <t>W3027354750</t>
        </is>
      </c>
      <c r="I286" t="inlineStr">
        <is>
          <t>https://doi.org/10.1002/asi.24387</t>
        </is>
      </c>
      <c r="J286" t="inlineStr">
        <is>
          <t>https://figshare.com/articles/journal_contribution/_BlockSidewalk_to_Barcelona_technological_sovereignty_and_the_social_license_to_operate_smart_cities/20700766</t>
        </is>
      </c>
      <c r="K286" t="n">
        <v>84</v>
      </c>
      <c r="L286" t="inlineStr">
        <is>
          <t>C</t>
        </is>
      </c>
      <c r="M286" t="inlineStr">
        <is>
          <t>C2</t>
        </is>
      </c>
      <c r="N286" t="inlineStr"/>
      <c r="O286" t="inlineStr">
        <is>
          <t>Barcelona; Toronto</t>
        </is>
      </c>
      <c r="P286" t="inlineStr">
        <is>
          <t>Global North</t>
        </is>
      </c>
      <c r="Q286" t="inlineStr"/>
      <c r="R286" t="inlineStr"/>
      <c r="S286" t="inlineStr"/>
      <c r="T286" t="inlineStr">
        <is>
          <t>conceptual</t>
        </is>
      </c>
      <c r="U286" t="inlineStr">
        <is>
          <t>Y</t>
        </is>
      </c>
      <c r="V286" t="inlineStr"/>
      <c r="W286" t="inlineStr">
        <is>
          <t>auto: Abstract This article explores technological sovereignty as a way to respond to anxieties of control in digital urban contexts, and argues that this may promise a more meaningful social license to operate smart cities.</t>
        </is>
      </c>
      <c r="X286" t="inlineStr">
        <is>
          <t>auto: We critique Alphabet's Sidewalk Labs development in Toronto, which faces public backlash from the #BlockSidewalk campaign in response to concerns over not just privacy, but also lack of community consultation, the prospect of the city losing its civic ability to self‐govern, and its repossession of public land and infrastructure.</t>
        </is>
      </c>
      <c r="Y286" t="inlineStr"/>
      <c r="Z286" t="inlineStr">
        <is>
          <t>medium</t>
        </is>
      </c>
      <c r="AA286" t="inlineStr">
        <is>
          <t>C2:landmarks</t>
        </is>
      </c>
      <c r="AB286" t="inlineStr"/>
      <c r="AC286" t="n">
        <v>7.2247</v>
      </c>
    </row>
    <row r="287">
      <c r="A287" t="inlineStr">
        <is>
          <t>LM00286</t>
        </is>
      </c>
      <c r="B287" t="inlineStr">
        <is>
          <t>Platform-mediated short-term rentals and gentrification in Madrid</t>
        </is>
      </c>
      <c r="C287" t="n">
        <v>2020</v>
      </c>
      <c r="D287" t="inlineStr">
        <is>
          <t>Álvaro Ardura Urquiaga; Iñigo Lorente Riverola; Javier Ruiz Sánchez</t>
        </is>
      </c>
      <c r="E287" t="inlineStr">
        <is>
          <t>Urban Studies</t>
        </is>
      </c>
      <c r="F287" t="inlineStr">
        <is>
          <t>article</t>
        </is>
      </c>
      <c r="G287" t="inlineStr">
        <is>
          <t>10.1177/0042098020918154</t>
        </is>
      </c>
      <c r="H287" t="inlineStr">
        <is>
          <t>W3035564473</t>
        </is>
      </c>
      <c r="I287" t="inlineStr">
        <is>
          <t>https://doi.org/10.1177/0042098020918154</t>
        </is>
      </c>
      <c r="J287" t="inlineStr">
        <is>
          <t>http://oa.upm.es/62703/</t>
        </is>
      </c>
      <c r="K287" t="n">
        <v>77</v>
      </c>
      <c r="L287" t="inlineStr">
        <is>
          <t>C</t>
        </is>
      </c>
      <c r="M287" t="inlineStr">
        <is>
          <t>C2</t>
        </is>
      </c>
      <c r="N287" t="inlineStr"/>
      <c r="O287" t="inlineStr">
        <is>
          <t>European; Madrid</t>
        </is>
      </c>
      <c r="P287" t="inlineStr">
        <is>
          <t>Global North</t>
        </is>
      </c>
      <c r="Q287" t="inlineStr"/>
      <c r="R287" t="inlineStr"/>
      <c r="S287" t="inlineStr"/>
      <c r="T287" t="inlineStr">
        <is>
          <t>conceptual</t>
        </is>
      </c>
      <c r="U287" t="inlineStr">
        <is>
          <t>Y</t>
        </is>
      </c>
      <c r="V287" t="inlineStr"/>
      <c r="W287" t="inlineStr">
        <is>
          <t>auto: Gentrification demands updated frameworks to assess the impact of some major global trends on the local populations’ access to housing.</t>
        </is>
      </c>
      <c r="X287" t="inlineStr">
        <is>
          <t>auto: Having undergone classical patterns of gentrification over the last two decades, the central district of Madrid and its surroundings are showing patterns of a new wave of gentrification in a context of economic crisis, planetary rent gaps, increasing global tourism and an increase in rental prices in central areas that may be related to the emergence of short-term rentals – making Madrid a relevant case for depicting transnational gentrification in the Southern European capitals.</t>
        </is>
      </c>
      <c r="Y287" t="inlineStr"/>
      <c r="Z287" t="inlineStr">
        <is>
          <t>high</t>
        </is>
      </c>
      <c r="AA287" t="inlineStr">
        <is>
          <t>C2:landmarks</t>
        </is>
      </c>
      <c r="AB287" t="inlineStr"/>
      <c r="AC287" t="n">
        <v>10.2582</v>
      </c>
    </row>
    <row r="288">
      <c r="A288" t="inlineStr">
        <is>
          <t>LM00287</t>
        </is>
      </c>
      <c r="B288" t="inlineStr">
        <is>
          <t>Short-term rentals as digitally-mediated tourism gentrification: impacts on housing in New Orleans</t>
        </is>
      </c>
      <c r="C288" t="n">
        <v>2020</v>
      </c>
      <c r="D288" t="inlineStr">
        <is>
          <t>Dustin Robertson; Christopher Oliver; Eric Nost</t>
        </is>
      </c>
      <c r="E288" t="inlineStr">
        <is>
          <t>Tourism Geographies</t>
        </is>
      </c>
      <c r="F288" t="inlineStr">
        <is>
          <t>article</t>
        </is>
      </c>
      <c r="G288" t="inlineStr">
        <is>
          <t>10.1080/14616688.2020.1765011</t>
        </is>
      </c>
      <c r="H288" t="inlineStr">
        <is>
          <t>W3025377650</t>
        </is>
      </c>
      <c r="I288" t="inlineStr">
        <is>
          <t>https://doi.org/10.1080/14616688.2020.1765011</t>
        </is>
      </c>
      <c r="J288" t="inlineStr"/>
      <c r="K288" t="n">
        <v>76</v>
      </c>
      <c r="L288" t="inlineStr">
        <is>
          <t>C</t>
        </is>
      </c>
      <c r="M288" t="inlineStr">
        <is>
          <t>C2</t>
        </is>
      </c>
      <c r="N288" t="inlineStr"/>
      <c r="O288" t="inlineStr">
        <is>
          <t>New Orleans</t>
        </is>
      </c>
      <c r="P288" t="inlineStr">
        <is>
          <t>Global North</t>
        </is>
      </c>
      <c r="Q288" t="inlineStr"/>
      <c r="R288" t="inlineStr"/>
      <c r="S288" t="inlineStr"/>
      <c r="T288" t="inlineStr">
        <is>
          <t>quantitative</t>
        </is>
      </c>
      <c r="U288" t="inlineStr">
        <is>
          <t>Y</t>
        </is>
      </c>
      <c r="V288" t="inlineStr"/>
      <c r="W288" t="inlineStr">
        <is>
          <t>auto: The ways in which short-term rental (STR) companies like Airbnb re-spatialize tourism are becoming apparent and force a reconsideration of “tourism gentrification” studies.</t>
        </is>
      </c>
      <c r="X288" t="inlineStr">
        <is>
          <t>auto: We demonstrate how digital platforms like Airbnb and HomeAway, which enable housing units to be used as STRs, quickly open and close rent gaps, especially in historic, low-income neighborhoods outside of traditional tourist zones.</t>
        </is>
      </c>
      <c r="Y288" t="inlineStr"/>
      <c r="Z288" t="inlineStr">
        <is>
          <t>high</t>
        </is>
      </c>
      <c r="AA288" t="inlineStr">
        <is>
          <t>C2:landmarks</t>
        </is>
      </c>
      <c r="AB288" t="inlineStr"/>
      <c r="AC288" t="n">
        <v>10.3435</v>
      </c>
    </row>
    <row r="289">
      <c r="A289" t="inlineStr">
        <is>
          <t>LM00288</t>
        </is>
      </c>
      <c r="B289" t="inlineStr">
        <is>
          <t>Mapping Platform Urbanism: Charting the Nuance of the Platform Pivot</t>
        </is>
      </c>
      <c r="C289" t="n">
        <v>2020</v>
      </c>
      <c r="D289" t="inlineStr">
        <is>
          <t>Ashlin Lee; Adrian Mackenzie; Gavin J. D. Smith; Paul J. Box</t>
        </is>
      </c>
      <c r="E289" t="inlineStr">
        <is>
          <t>Urban Planning</t>
        </is>
      </c>
      <c r="F289" t="inlineStr">
        <is>
          <t>article</t>
        </is>
      </c>
      <c r="G289" t="inlineStr">
        <is>
          <t>10.17645/up.v5i1.2545</t>
        </is>
      </c>
      <c r="H289" t="inlineStr">
        <is>
          <t>W3012058390</t>
        </is>
      </c>
      <c r="I289" t="inlineStr">
        <is>
          <t>https://doi.org/10.17645/up.v5i1.2545</t>
        </is>
      </c>
      <c r="J289" t="inlineStr">
        <is>
          <t>https://www.cogitatiopress.com/urbanplanning/article/download/2545/2545</t>
        </is>
      </c>
      <c r="K289" t="n">
        <v>75</v>
      </c>
      <c r="L289" t="inlineStr">
        <is>
          <t>C</t>
        </is>
      </c>
      <c r="M289" t="inlineStr">
        <is>
          <t>C2</t>
        </is>
      </c>
      <c r="N289" t="inlineStr"/>
      <c r="O289" t="inlineStr"/>
      <c r="P289" t="inlineStr">
        <is>
          <t>Not place-specific</t>
        </is>
      </c>
      <c r="Q289" t="inlineStr"/>
      <c r="R289" t="inlineStr"/>
      <c r="S289" t="inlineStr"/>
      <c r="T289" t="inlineStr">
        <is>
          <t>mixed</t>
        </is>
      </c>
      <c r="U289" t="inlineStr">
        <is>
          <t>Y</t>
        </is>
      </c>
      <c r="V289" t="inlineStr"/>
      <c r="W289" t="inlineStr">
        <is>
          <t>auto: This article seeks to assist urban planners in these efforts by analysing and mapping the qualities of platform urbanism.</t>
        </is>
      </c>
      <c r="X289" t="inlineStr"/>
      <c r="Y289" t="inlineStr"/>
      <c r="Z289" t="inlineStr">
        <is>
          <t>medium</t>
        </is>
      </c>
      <c r="AA289" t="inlineStr">
        <is>
          <t>C2:landmarks</t>
        </is>
      </c>
      <c r="AB289" t="inlineStr"/>
      <c r="AC289" t="n">
        <v>6.3611</v>
      </c>
    </row>
    <row r="290">
      <c r="A290" t="inlineStr">
        <is>
          <t>LM00289</t>
        </is>
      </c>
      <c r="B290" t="inlineStr">
        <is>
          <t>Emerging platform urbanism in China: Reconfigurations of data, citizenship and materialities</t>
        </is>
      </c>
      <c r="C290" t="n">
        <v>2019</v>
      </c>
      <c r="D290" t="inlineStr">
        <is>
          <t>Federico Caprotti; Dong Liu</t>
        </is>
      </c>
      <c r="E290" t="inlineStr">
        <is>
          <t>Technological Forecasting and Social Change</t>
        </is>
      </c>
      <c r="F290" t="inlineStr">
        <is>
          <t>article</t>
        </is>
      </c>
      <c r="G290" t="inlineStr">
        <is>
          <t>10.1016/j.techfore.2019.06.016</t>
        </is>
      </c>
      <c r="H290" t="inlineStr">
        <is>
          <t>W2954329179</t>
        </is>
      </c>
      <c r="I290" t="inlineStr">
        <is>
          <t>https://doi.org/10.1016/j.techfore.2019.06.016</t>
        </is>
      </c>
      <c r="J290" t="inlineStr">
        <is>
          <t>https://www.sciencedirect.com/science/article/pii/S0040162518320298/pdf</t>
        </is>
      </c>
      <c r="K290" t="n">
        <v>72</v>
      </c>
      <c r="L290" t="inlineStr">
        <is>
          <t>C</t>
        </is>
      </c>
      <c r="M290" t="inlineStr">
        <is>
          <t>C2</t>
        </is>
      </c>
      <c r="N290" t="inlineStr"/>
      <c r="O290" t="inlineStr">
        <is>
          <t>China</t>
        </is>
      </c>
      <c r="P290" t="inlineStr">
        <is>
          <t>China &amp; East Asia</t>
        </is>
      </c>
      <c r="Q290" t="inlineStr"/>
      <c r="R290" t="inlineStr"/>
      <c r="S290" t="inlineStr"/>
      <c r="T290" t="inlineStr">
        <is>
          <t>unclear</t>
        </is>
      </c>
      <c r="U290" t="inlineStr">
        <is>
          <t>Y</t>
        </is>
      </c>
      <c r="V290" t="inlineStr"/>
      <c r="W290" t="inlineStr">
        <is>
          <t>auto: • Platform urbanism increasingly defines the ways in which cities develop for the future. • Platform urbanism is one of the latest developments of the smart city. • Chinese platform urbanism challenges currently held notions of urban citizenship and urban lifestyles. • China's urban platforms sho…</t>
        </is>
      </c>
      <c r="X290" t="inlineStr"/>
      <c r="Y290" t="inlineStr"/>
      <c r="Z290" t="inlineStr">
        <is>
          <t>high</t>
        </is>
      </c>
      <c r="AA290" t="inlineStr">
        <is>
          <t>C2:landmarks</t>
        </is>
      </c>
      <c r="AB290" t="inlineStr"/>
      <c r="AC290" t="n">
        <v>5.2504</v>
      </c>
    </row>
    <row r="291">
      <c r="A291" t="inlineStr">
        <is>
          <t>LM00290</t>
        </is>
      </c>
      <c r="B291" t="inlineStr">
        <is>
          <t>From brick-and-mortar to location-less restaurant: The spatial fixing of on-demand food delivery platformization</t>
        </is>
      </c>
      <c r="C291" t="n">
        <v>2022</v>
      </c>
      <c r="D291" t="inlineStr">
        <is>
          <t>Gianni Talamini; Weike Li; Xin Li</t>
        </is>
      </c>
      <c r="E291" t="inlineStr">
        <is>
          <t>Cities</t>
        </is>
      </c>
      <c r="F291" t="inlineStr">
        <is>
          <t>article</t>
        </is>
      </c>
      <c r="G291" t="inlineStr">
        <is>
          <t>10.1016/j.cities.2022.103820</t>
        </is>
      </c>
      <c r="H291" t="inlineStr">
        <is>
          <t>W4283016326</t>
        </is>
      </c>
      <c r="I291" t="inlineStr">
        <is>
          <t>https://doi.org/10.1016/j.cities.2022.103820</t>
        </is>
      </c>
      <c r="J291" t="inlineStr"/>
      <c r="K291" t="n">
        <v>68</v>
      </c>
      <c r="L291" t="inlineStr">
        <is>
          <t>C</t>
        </is>
      </c>
      <c r="M291" t="inlineStr">
        <is>
          <t>C2</t>
        </is>
      </c>
      <c r="N291" t="inlineStr"/>
      <c r="O291" t="inlineStr"/>
      <c r="P291" t="inlineStr">
        <is>
          <t>Not place-specific</t>
        </is>
      </c>
      <c r="Q291" t="inlineStr"/>
      <c r="R291" t="inlineStr"/>
      <c r="S291" t="inlineStr"/>
      <c r="T291" t="inlineStr">
        <is>
          <t>unclear</t>
        </is>
      </c>
      <c r="U291" t="inlineStr"/>
      <c r="V291" t="inlineStr">
        <is>
          <t>Y</t>
        </is>
      </c>
      <c r="W291" t="inlineStr"/>
      <c r="X291" t="inlineStr"/>
      <c r="Y291" t="inlineStr"/>
      <c r="Z291" t="inlineStr">
        <is>
          <t>low</t>
        </is>
      </c>
      <c r="AA291" t="inlineStr">
        <is>
          <t>C2:recent</t>
        </is>
      </c>
      <c r="AB291" t="inlineStr"/>
      <c r="AC291" t="n">
        <v>17.4051</v>
      </c>
    </row>
    <row r="292">
      <c r="A292" t="inlineStr">
        <is>
          <t>LM00291</t>
        </is>
      </c>
      <c r="B292" t="inlineStr">
        <is>
          <t>The Metaverse as a Virtual Model of Platform Urbanism: Its Converging AIoT, XReality, Neurotech, and Nanobiotech and Their Applications, Challenges, and Risks</t>
        </is>
      </c>
      <c r="C292" t="n">
        <v>2023</v>
      </c>
      <c r="D292" t="inlineStr">
        <is>
          <t>Simon Elias Bibri</t>
        </is>
      </c>
      <c r="E292" t="inlineStr">
        <is>
          <t>Smart Cities</t>
        </is>
      </c>
      <c r="F292" t="inlineStr">
        <is>
          <t>article</t>
        </is>
      </c>
      <c r="G292" t="inlineStr">
        <is>
          <t>10.3390/smartcities6030065</t>
        </is>
      </c>
      <c r="H292" t="inlineStr">
        <is>
          <t>W4376137186</t>
        </is>
      </c>
      <c r="I292" t="inlineStr">
        <is>
          <t>https://doi.org/10.3390/smartcities6030065</t>
        </is>
      </c>
      <c r="J292" t="inlineStr">
        <is>
          <t>https://www.mdpi.com/2624-6511/6/3/65/pdf?version=1683778544</t>
        </is>
      </c>
      <c r="K292" t="n">
        <v>56</v>
      </c>
      <c r="L292" t="inlineStr">
        <is>
          <t>C</t>
        </is>
      </c>
      <c r="M292" t="inlineStr">
        <is>
          <t>C2</t>
        </is>
      </c>
      <c r="N292" t="inlineStr"/>
      <c r="O292" t="inlineStr"/>
      <c r="P292" t="inlineStr">
        <is>
          <t>Not place-specific</t>
        </is>
      </c>
      <c r="Q292" t="inlineStr"/>
      <c r="R292" t="inlineStr"/>
      <c r="S292" t="inlineStr"/>
      <c r="T292" t="inlineStr">
        <is>
          <t>computational</t>
        </is>
      </c>
      <c r="U292" t="inlineStr"/>
      <c r="V292" t="inlineStr">
        <is>
          <t>Y</t>
        </is>
      </c>
      <c r="W292" t="inlineStr">
        <is>
          <t>auto: Therefore, this study analyzes and synthesizes a large body of scientific literature on the unfolding convergence of AIoT and XR technologies, neurotechnology, and nanobiotechnology in the realm of the Metaverse in order to derive a novel conceptual framework for the Metaverse as an envisioned vi…</t>
        </is>
      </c>
      <c r="X292" t="inlineStr"/>
      <c r="Y292" t="inlineStr"/>
      <c r="Z292" t="inlineStr">
        <is>
          <t>high</t>
        </is>
      </c>
      <c r="AA292" t="inlineStr">
        <is>
          <t>C2:recent</t>
        </is>
      </c>
      <c r="AB292" t="inlineStr"/>
      <c r="AC292" t="n">
        <v>6.3474</v>
      </c>
    </row>
    <row r="293">
      <c r="A293" t="inlineStr">
        <is>
          <t>LM00292</t>
        </is>
      </c>
      <c r="B293" t="inlineStr">
        <is>
          <t>Silicon Savannahs and motorcycle taxis: A Southern perspective on the frontiers of platform urbanism</t>
        </is>
      </c>
      <c r="C293" t="n">
        <v>2023</v>
      </c>
      <c r="D293" t="inlineStr">
        <is>
          <t>Liza Rose Cirolia; Rike Sitas; Andrea Pollio; Alexis Gatoni Sebarenzi; Prince K. Guma</t>
        </is>
      </c>
      <c r="E293" t="inlineStr">
        <is>
          <t>Environment and Planning A Economy and Space</t>
        </is>
      </c>
      <c r="F293" t="inlineStr">
        <is>
          <t>article</t>
        </is>
      </c>
      <c r="G293" t="inlineStr">
        <is>
          <t>10.1177/0308518x231170193</t>
        </is>
      </c>
      <c r="H293" t="inlineStr">
        <is>
          <t>W4367680010</t>
        </is>
      </c>
      <c r="I293" t="inlineStr">
        <is>
          <t>https://doi.org/10.1177/0308518x231170193</t>
        </is>
      </c>
      <c r="J293" t="inlineStr">
        <is>
          <t>https://journals.sagepub.com/doi/pdf/10.1177/0308518X231170193</t>
        </is>
      </c>
      <c r="K293" t="n">
        <v>46</v>
      </c>
      <c r="L293" t="inlineStr">
        <is>
          <t>C</t>
        </is>
      </c>
      <c r="M293" t="inlineStr">
        <is>
          <t>C2</t>
        </is>
      </c>
      <c r="N293" t="inlineStr"/>
      <c r="O293" t="inlineStr">
        <is>
          <t>Africa; African; Kigali; Nairobi</t>
        </is>
      </c>
      <c r="P293" t="inlineStr">
        <is>
          <t>Africa</t>
        </is>
      </c>
      <c r="Q293" t="inlineStr"/>
      <c r="R293" t="inlineStr"/>
      <c r="S293" t="inlineStr"/>
      <c r="T293" t="inlineStr">
        <is>
          <t>conceptual</t>
        </is>
      </c>
      <c r="U293" t="inlineStr"/>
      <c r="V293" t="inlineStr">
        <is>
          <t>Y</t>
        </is>
      </c>
      <c r="W293" t="inlineStr">
        <is>
          <t>auto: In this article, in contrast, we offer a more ambivalent analysis of a compelling trend in several African cities: the platformization of motorcycle taxis.</t>
        </is>
      </c>
      <c r="X293" t="inlineStr"/>
      <c r="Y293" t="inlineStr"/>
      <c r="Z293" t="inlineStr">
        <is>
          <t>high</t>
        </is>
      </c>
      <c r="AA293" t="inlineStr">
        <is>
          <t>C2:recent</t>
        </is>
      </c>
      <c r="AB293" t="inlineStr"/>
      <c r="AC293" t="n">
        <v>20.4816</v>
      </c>
    </row>
    <row r="294">
      <c r="A294" t="inlineStr">
        <is>
          <t>LM00293</t>
        </is>
      </c>
      <c r="B294" t="inlineStr">
        <is>
          <t>Towards alternative platform futures in post-pandemic cities? A case study on platformization and changing socio-spatial relations in on-demand food delivery</t>
        </is>
      </c>
      <c r="C294" t="n">
        <v>2022</v>
      </c>
      <c r="D294" t="inlineStr">
        <is>
          <t>Yannick Ecker; Anke Strüver</t>
        </is>
      </c>
      <c r="E294" t="inlineStr">
        <is>
          <t>Digital Geography and Society</t>
        </is>
      </c>
      <c r="F294" t="inlineStr">
        <is>
          <t>article</t>
        </is>
      </c>
      <c r="G294" t="inlineStr">
        <is>
          <t>10.1016/j.diggeo.2022.100032</t>
        </is>
      </c>
      <c r="H294" t="inlineStr">
        <is>
          <t>W4213368224</t>
        </is>
      </c>
      <c r="I294" t="inlineStr">
        <is>
          <t>https://doi.org/10.1016/j.diggeo.2022.100032</t>
        </is>
      </c>
      <c r="J294" t="inlineStr">
        <is>
          <t>https://www.sciencedirect.com/science/article/pii/S2666378322000071/pdf</t>
        </is>
      </c>
      <c r="K294" t="n">
        <v>43</v>
      </c>
      <c r="L294" t="inlineStr">
        <is>
          <t>C</t>
        </is>
      </c>
      <c r="M294" t="inlineStr">
        <is>
          <t>C2</t>
        </is>
      </c>
      <c r="N294" t="inlineStr"/>
      <c r="O294" t="inlineStr">
        <is>
          <t>Austria; Europe; Graz</t>
        </is>
      </c>
      <c r="P294" t="inlineStr">
        <is>
          <t>Global North</t>
        </is>
      </c>
      <c r="Q294" t="inlineStr"/>
      <c r="R294" t="inlineStr"/>
      <c r="S294" t="inlineStr"/>
      <c r="T294" t="inlineStr">
        <is>
          <t>qualitative</t>
        </is>
      </c>
      <c r="U294" t="inlineStr"/>
      <c r="V294" t="inlineStr">
        <is>
          <t>Y</t>
        </is>
      </c>
      <c r="W294" t="inlineStr">
        <is>
          <t>auto: Drawing on the case study of Graz (Austria), this paper expands generalized speculation by a concrete exploration of what alternative platform futures in (post-)pandemic cities might hold.</t>
        </is>
      </c>
      <c r="X294" t="inlineStr">
        <is>
          <t>auto: Digital platforms have become an increasingly central concept for reflecting societal processes, but the historical and spatial embeddedness of platformization is often neglected as dystopian warnings and promises of efficiency take center stage. | At the same time, the findings point out limitations of the local alternative platform model and contribute to the critical discourse on urban platforms.</t>
        </is>
      </c>
      <c r="Y294" t="inlineStr"/>
      <c r="Z294" t="inlineStr">
        <is>
          <t>high</t>
        </is>
      </c>
      <c r="AA294" t="inlineStr">
        <is>
          <t>C2:recent</t>
        </is>
      </c>
      <c r="AB294" t="inlineStr"/>
      <c r="AC294" t="n">
        <v>13.4164</v>
      </c>
    </row>
    <row r="295">
      <c r="A295" t="inlineStr">
        <is>
          <t>LM00294</t>
        </is>
      </c>
      <c r="B295" t="inlineStr">
        <is>
          <t>Sustaining urban labour markets: Situating migration and domestic work in India's ‘gig’ economy</t>
        </is>
      </c>
      <c r="C295" t="n">
        <v>2022</v>
      </c>
      <c r="D295" t="inlineStr">
        <is>
          <t>Ambika Tandon; Aayush Rathi</t>
        </is>
      </c>
      <c r="E295" t="inlineStr">
        <is>
          <t>Environment and Planning A Economy and Space</t>
        </is>
      </c>
      <c r="F295" t="inlineStr">
        <is>
          <t>article</t>
        </is>
      </c>
      <c r="G295" t="inlineStr">
        <is>
          <t>10.1177/0308518x221120822</t>
        </is>
      </c>
      <c r="H295" t="inlineStr">
        <is>
          <t>W4291824657</t>
        </is>
      </c>
      <c r="I295" t="inlineStr">
        <is>
          <t>https://doi.org/10.1177/0308518x221120822</t>
        </is>
      </c>
      <c r="J295" t="inlineStr"/>
      <c r="K295" t="n">
        <v>28</v>
      </c>
      <c r="L295" t="inlineStr">
        <is>
          <t>C</t>
        </is>
      </c>
      <c r="M295" t="inlineStr">
        <is>
          <t>C2</t>
        </is>
      </c>
      <c r="N295" t="inlineStr"/>
      <c r="O295" t="inlineStr">
        <is>
          <t>Bengaluru; Delhi; India</t>
        </is>
      </c>
      <c r="P295" t="inlineStr">
        <is>
          <t>South Asia</t>
        </is>
      </c>
      <c r="Q295" t="inlineStr">
        <is>
          <t>Y</t>
        </is>
      </c>
      <c r="R295" t="inlineStr">
        <is>
          <t>Y</t>
        </is>
      </c>
      <c r="S295" t="inlineStr"/>
      <c r="T295" t="inlineStr">
        <is>
          <t>qualitative</t>
        </is>
      </c>
      <c r="U295" t="inlineStr"/>
      <c r="V295" t="inlineStr">
        <is>
          <t>Y</t>
        </is>
      </c>
      <c r="W295" t="inlineStr">
        <is>
          <t>auto: The domestic work sector in India has been absorbing an overwhelming proportion of workers who migrate from rural and semi-urban spaces to cities for employment.</t>
        </is>
      </c>
      <c r="X295" t="inlineStr"/>
      <c r="Y295" t="inlineStr"/>
      <c r="Z295" t="inlineStr">
        <is>
          <t>medium</t>
        </is>
      </c>
      <c r="AA295" t="inlineStr">
        <is>
          <t>C2:india</t>
        </is>
      </c>
      <c r="AB295" t="inlineStr"/>
      <c r="AC295" t="n">
        <v>9.065200000000001</v>
      </c>
    </row>
    <row r="296">
      <c r="A296" t="inlineStr">
        <is>
          <t>LM00295</t>
        </is>
      </c>
      <c r="B296" t="inlineStr">
        <is>
          <t>Creative digipreneurs: Artistic entrepreneurial practices in platform-mediated space</t>
        </is>
      </c>
      <c r="C296" t="n">
        <v>2023</v>
      </c>
      <c r="D296" t="inlineStr">
        <is>
          <t>Alica Repenning; Anna Oechslen</t>
        </is>
      </c>
      <c r="E296" t="inlineStr">
        <is>
          <t>Digital Geography and Society</t>
        </is>
      </c>
      <c r="F296" t="inlineStr">
        <is>
          <t>article</t>
        </is>
      </c>
      <c r="G296" t="inlineStr">
        <is>
          <t>10.1016/j.diggeo.2023.100058</t>
        </is>
      </c>
      <c r="H296" t="inlineStr">
        <is>
          <t>W4368340770</t>
        </is>
      </c>
      <c r="I296" t="inlineStr">
        <is>
          <t>https://doi.org/10.1016/j.diggeo.2023.100058</t>
        </is>
      </c>
      <c r="J296" t="inlineStr">
        <is>
          <t>https://doi.org/10.1016/j.diggeo.2023.100058</t>
        </is>
      </c>
      <c r="K296" t="n">
        <v>25</v>
      </c>
      <c r="L296" t="inlineStr">
        <is>
          <t>C</t>
        </is>
      </c>
      <c r="M296" t="inlineStr">
        <is>
          <t>C2</t>
        </is>
      </c>
      <c r="N296" t="inlineStr"/>
      <c r="O296" t="inlineStr">
        <is>
          <t>Bengaluru; Berlin; Germany; India</t>
        </is>
      </c>
      <c r="P296" t="inlineStr">
        <is>
          <t>Multi-region</t>
        </is>
      </c>
      <c r="Q296" t="inlineStr">
        <is>
          <t>Y</t>
        </is>
      </c>
      <c r="R296" t="inlineStr"/>
      <c r="S296" t="inlineStr"/>
      <c r="T296" t="inlineStr">
        <is>
          <t>qualitative</t>
        </is>
      </c>
      <c r="U296" t="inlineStr"/>
      <c r="V296" t="inlineStr">
        <is>
          <t>Y</t>
        </is>
      </c>
      <c r="W296" t="inlineStr">
        <is>
          <t>auto: Taking this observation as a starting point, this paper aims to explore the entanglement of entrepreneurial, artistic, and creative practices and processes with digital platforms.</t>
        </is>
      </c>
      <c r="X296" t="inlineStr"/>
      <c r="Y296" t="inlineStr"/>
      <c r="Z296" t="inlineStr">
        <is>
          <t>medium</t>
        </is>
      </c>
      <c r="AA296" t="inlineStr">
        <is>
          <t>C2:india</t>
        </is>
      </c>
      <c r="AB296" t="inlineStr"/>
      <c r="AC296" t="n">
        <v>15.1929</v>
      </c>
    </row>
    <row r="297">
      <c r="A297" t="inlineStr">
        <is>
          <t>LM00296</t>
        </is>
      </c>
      <c r="B297" t="inlineStr">
        <is>
          <t>The Platformization of Student Housing and the Rise of Mid‐Term Rentals. The Case of Uniplaces in Lisbon</t>
        </is>
      </c>
      <c r="C297" t="n">
        <v>2023</v>
      </c>
      <c r="D297" t="inlineStr">
        <is>
          <t>Agustín Cócola-Gant; Daniel Malet Calvo</t>
        </is>
      </c>
      <c r="E297" t="inlineStr">
        <is>
          <t>Tijdschrift voor Economische en Sociale Geografie</t>
        </is>
      </c>
      <c r="F297" t="inlineStr">
        <is>
          <t>article</t>
        </is>
      </c>
      <c r="G297" t="inlineStr">
        <is>
          <t>10.1111/tesg.12560</t>
        </is>
      </c>
      <c r="H297" t="inlineStr">
        <is>
          <t>W4380051391</t>
        </is>
      </c>
      <c r="I297" t="inlineStr">
        <is>
          <t>https://doi.org/10.1111/tesg.12560</t>
        </is>
      </c>
      <c r="J297" t="inlineStr">
        <is>
          <t>https://onlinelibrary.wiley.com/doi/pdfdirect/10.1111/tesg.12560</t>
        </is>
      </c>
      <c r="K297" t="n">
        <v>23</v>
      </c>
      <c r="L297" t="inlineStr">
        <is>
          <t>C</t>
        </is>
      </c>
      <c r="M297" t="inlineStr">
        <is>
          <t>C2</t>
        </is>
      </c>
      <c r="N297" t="inlineStr"/>
      <c r="O297" t="inlineStr">
        <is>
          <t>Lisbon</t>
        </is>
      </c>
      <c r="P297" t="inlineStr">
        <is>
          <t>Global North</t>
        </is>
      </c>
      <c r="Q297" t="inlineStr"/>
      <c r="R297" t="inlineStr"/>
      <c r="S297" t="inlineStr"/>
      <c r="T297" t="inlineStr">
        <is>
          <t>qualitative</t>
        </is>
      </c>
      <c r="U297" t="inlineStr"/>
      <c r="V297" t="inlineStr">
        <is>
          <t>Y</t>
        </is>
      </c>
      <c r="W297" t="inlineStr">
        <is>
          <t>auto: In this paper, we complement these approaches with a conceptualization of how digital platforms have restructured the supply of student rooms in houses of multiple occupation.</t>
        </is>
      </c>
      <c r="X297" t="inlineStr"/>
      <c r="Y297" t="inlineStr"/>
      <c r="Z297" t="inlineStr">
        <is>
          <t>high</t>
        </is>
      </c>
      <c r="AA297" t="inlineStr">
        <is>
          <t>C2:recent</t>
        </is>
      </c>
      <c r="AB297" t="inlineStr"/>
      <c r="AC297" t="n">
        <v>4.9279</v>
      </c>
    </row>
    <row r="298">
      <c r="A298" t="inlineStr">
        <is>
          <t>LM00297</t>
        </is>
      </c>
      <c r="B298" t="inlineStr">
        <is>
          <t>Urban infrastructure reconfiguration and digital platforms: Who is in control?</t>
        </is>
      </c>
      <c r="C298" t="n">
        <v>2024</v>
      </c>
      <c r="D298" t="inlineStr">
        <is>
          <t>Mike Hodson; Andrew McMeekin; Andy Lockhart</t>
        </is>
      </c>
      <c r="E298" t="inlineStr">
        <is>
          <t>Environmental Innovation and Societal Transitions</t>
        </is>
      </c>
      <c r="F298" t="inlineStr">
        <is>
          <t>article</t>
        </is>
      </c>
      <c r="G298" t="inlineStr">
        <is>
          <t>10.1016/j.eist.2024.100816</t>
        </is>
      </c>
      <c r="H298" t="inlineStr">
        <is>
          <t>W4391501417</t>
        </is>
      </c>
      <c r="I298" t="inlineStr">
        <is>
          <t>https://doi.org/10.1016/j.eist.2024.100816</t>
        </is>
      </c>
      <c r="J298" t="inlineStr">
        <is>
          <t>https://doi.org/10.1016/j.eist.2024.100816</t>
        </is>
      </c>
      <c r="K298" t="n">
        <v>21</v>
      </c>
      <c r="L298" t="inlineStr">
        <is>
          <t>C</t>
        </is>
      </c>
      <c r="M298" t="inlineStr">
        <is>
          <t>C2</t>
        </is>
      </c>
      <c r="N298" t="inlineStr"/>
      <c r="O298" t="inlineStr"/>
      <c r="P298" t="inlineStr">
        <is>
          <t>Not place-specific</t>
        </is>
      </c>
      <c r="Q298" t="inlineStr"/>
      <c r="R298" t="inlineStr"/>
      <c r="S298" t="inlineStr"/>
      <c r="T298" t="inlineStr">
        <is>
          <t>conceptual</t>
        </is>
      </c>
      <c r="U298" t="inlineStr"/>
      <c r="V298" t="inlineStr">
        <is>
          <t>Y</t>
        </is>
      </c>
      <c r="W298" t="inlineStr">
        <is>
          <t>auto: The literature on urban sustainability transitions has grown substantially over the last two decades.</t>
        </is>
      </c>
      <c r="X298" t="inlineStr"/>
      <c r="Y298" t="inlineStr"/>
      <c r="Z298" t="inlineStr">
        <is>
          <t>high</t>
        </is>
      </c>
      <c r="AA298" t="inlineStr">
        <is>
          <t>C2:recent</t>
        </is>
      </c>
      <c r="AB298" t="inlineStr"/>
      <c r="AC298" t="n">
        <v>4.042</v>
      </c>
    </row>
    <row r="299">
      <c r="A299" t="inlineStr">
        <is>
          <t>LM00298</t>
        </is>
      </c>
      <c r="B299" t="inlineStr">
        <is>
          <t>Protest, pandemic, &amp; platformisation in Hong Kong: Towards cities of alternatives</t>
        </is>
      </c>
      <c r="C299" t="n">
        <v>2022</v>
      </c>
      <c r="D299" t="inlineStr">
        <is>
          <t>Yung Au</t>
        </is>
      </c>
      <c r="E299" t="inlineStr">
        <is>
          <t>Digital Geography and Society</t>
        </is>
      </c>
      <c r="F299" t="inlineStr">
        <is>
          <t>article</t>
        </is>
      </c>
      <c r="G299" t="inlineStr">
        <is>
          <t>10.1016/j.diggeo.2022.100043</t>
        </is>
      </c>
      <c r="H299" t="inlineStr">
        <is>
          <t>W4296311543</t>
        </is>
      </c>
      <c r="I299" t="inlineStr">
        <is>
          <t>https://doi.org/10.1016/j.diggeo.2022.100043</t>
        </is>
      </c>
      <c r="J299" t="inlineStr">
        <is>
          <t>https://www.sciencedirect.com/science/article/pii/S2666378322000186/pdf</t>
        </is>
      </c>
      <c r="K299" t="n">
        <v>18</v>
      </c>
      <c r="L299" t="inlineStr">
        <is>
          <t>C</t>
        </is>
      </c>
      <c r="M299" t="inlineStr">
        <is>
          <t>C2</t>
        </is>
      </c>
      <c r="N299" t="inlineStr"/>
      <c r="O299" t="inlineStr">
        <is>
          <t>Hong Kong</t>
        </is>
      </c>
      <c r="P299" t="inlineStr">
        <is>
          <t>China &amp; East Asia</t>
        </is>
      </c>
      <c r="Q299" t="inlineStr"/>
      <c r="R299" t="inlineStr"/>
      <c r="S299" t="inlineStr"/>
      <c r="T299" t="inlineStr">
        <is>
          <t>unclear</t>
        </is>
      </c>
      <c r="U299" t="inlineStr"/>
      <c r="V299" t="inlineStr"/>
      <c r="W299" t="inlineStr">
        <is>
          <t>auto: This paper explores the variety of alternative, local platforms that flourished in Hong Kong during 2019–2020, a tumultuous time which was shaped by the Anti-Extradition Law Amendment Bill protests and the COVID-19 pandemic.</t>
        </is>
      </c>
      <c r="X299" t="inlineStr"/>
      <c r="Y299" t="inlineStr"/>
      <c r="Z299" t="inlineStr">
        <is>
          <t>high</t>
        </is>
      </c>
      <c r="AA299" t="inlineStr">
        <is>
          <t>C2:recent</t>
        </is>
      </c>
      <c r="AB299" t="inlineStr"/>
      <c r="AC299" t="n">
        <v>1.4504</v>
      </c>
    </row>
    <row r="300">
      <c r="A300" t="inlineStr">
        <is>
          <t>LM00299</t>
        </is>
      </c>
      <c r="B300" t="inlineStr">
        <is>
          <t>Splintering by Proxy: A Reflection on the Spatial Impacts and Distributed Agency of Platform Urbanism</t>
        </is>
      </c>
      <c r="C300" t="n">
        <v>2022</v>
      </c>
      <c r="D300" t="inlineStr">
        <is>
          <t>Nancy Odendaal</t>
        </is>
      </c>
      <c r="E300" t="inlineStr">
        <is>
          <t>Journal of Urban Technology</t>
        </is>
      </c>
      <c r="F300" t="inlineStr">
        <is>
          <t>article</t>
        </is>
      </c>
      <c r="G300" t="inlineStr">
        <is>
          <t>10.1080/10630732.2021.2007204</t>
        </is>
      </c>
      <c r="H300" t="inlineStr">
        <is>
          <t>W4210481755</t>
        </is>
      </c>
      <c r="I300" t="inlineStr">
        <is>
          <t>https://doi.org/10.1080/10630732.2021.2007204</t>
        </is>
      </c>
      <c r="J300" t="inlineStr"/>
      <c r="K300" t="n">
        <v>17</v>
      </c>
      <c r="L300" t="inlineStr">
        <is>
          <t>C</t>
        </is>
      </c>
      <c r="M300" t="inlineStr">
        <is>
          <t>C2</t>
        </is>
      </c>
      <c r="N300" t="inlineStr"/>
      <c r="O300" t="inlineStr"/>
      <c r="P300" t="inlineStr">
        <is>
          <t>Not place-specific</t>
        </is>
      </c>
      <c r="Q300" t="inlineStr"/>
      <c r="R300" t="inlineStr"/>
      <c r="S300" t="inlineStr"/>
      <c r="T300" t="inlineStr">
        <is>
          <t>conceptual</t>
        </is>
      </c>
      <c r="U300" t="inlineStr"/>
      <c r="V300" t="inlineStr">
        <is>
          <t>Y</t>
        </is>
      </c>
      <c r="W300" t="inlineStr">
        <is>
          <t>auto: Insight into the socio-technical dynamics of infrastructure unbundling and the impact on urban space is perhaps one of the most enduring conceptual legacies of the Splintering Urbanism thesis.</t>
        </is>
      </c>
      <c r="X300" t="inlineStr"/>
      <c r="Y300" t="inlineStr"/>
      <c r="Z300" t="inlineStr">
        <is>
          <t>high</t>
        </is>
      </c>
      <c r="AA300" t="inlineStr">
        <is>
          <t>C2:recent</t>
        </is>
      </c>
      <c r="AB300" t="inlineStr"/>
      <c r="AC300" t="n">
        <v>7.426</v>
      </c>
    </row>
    <row r="301">
      <c r="A301" t="inlineStr">
        <is>
          <t>LM00300</t>
        </is>
      </c>
      <c r="B301" t="inlineStr">
        <is>
          <t>The Platformization of Public Participation: Considerations for Urban Planners Navigating New Engagement Tools</t>
        </is>
      </c>
      <c r="C301" t="n">
        <v>2023</v>
      </c>
      <c r="D301" t="inlineStr">
        <is>
          <t>Pamela J. Robinson; Peter A. Johnson</t>
        </is>
      </c>
      <c r="E301" t="inlineStr">
        <is>
          <t>The urban book series</t>
        </is>
      </c>
      <c r="F301" t="inlineStr">
        <is>
          <t>conference-paper</t>
        </is>
      </c>
      <c r="G301" t="inlineStr">
        <is>
          <t>10.1007/978-3-031-31746-0_5</t>
        </is>
      </c>
      <c r="H301" t="inlineStr">
        <is>
          <t>W4379177110</t>
        </is>
      </c>
      <c r="I301" t="inlineStr">
        <is>
          <t>https://doi.org/10.1007/978-3-031-31746-0_5</t>
        </is>
      </c>
      <c r="J301" t="inlineStr">
        <is>
          <t>https://link.springer.com/content/pdf/10.1007/978-3-031-31746-0_5.pdf</t>
        </is>
      </c>
      <c r="K301" t="n">
        <v>15</v>
      </c>
      <c r="L301" t="inlineStr">
        <is>
          <t>C</t>
        </is>
      </c>
      <c r="M301" t="inlineStr">
        <is>
          <t>C2</t>
        </is>
      </c>
      <c r="N301" t="inlineStr"/>
      <c r="O301" t="inlineStr"/>
      <c r="P301" t="inlineStr">
        <is>
          <t>Not place-specific</t>
        </is>
      </c>
      <c r="Q301" t="inlineStr"/>
      <c r="R301" t="inlineStr"/>
      <c r="S301" t="inlineStr"/>
      <c r="T301" t="inlineStr">
        <is>
          <t>unclear</t>
        </is>
      </c>
      <c r="U301" t="inlineStr"/>
      <c r="V301" t="inlineStr">
        <is>
          <t>Y</t>
        </is>
      </c>
      <c r="W301" t="inlineStr"/>
      <c r="X301" t="inlineStr"/>
      <c r="Y301" t="inlineStr"/>
      <c r="Z301" t="inlineStr">
        <is>
          <t>low</t>
        </is>
      </c>
      <c r="AA301" t="inlineStr">
        <is>
          <t>C2:recent</t>
        </is>
      </c>
      <c r="AB301" t="inlineStr"/>
      <c r="AC301" t="n">
        <v>6.3651</v>
      </c>
    </row>
    <row r="302">
      <c r="A302" t="inlineStr">
        <is>
          <t>LM00301</t>
        </is>
      </c>
      <c r="B302" t="inlineStr">
        <is>
          <t>Dispossession by platformization: The rise of on-demand recycling in urban India</t>
        </is>
      </c>
      <c r="C302" t="n">
        <v>2023</v>
      </c>
      <c r="D302" t="inlineStr">
        <is>
          <t>Aman Luthra; Jake Lowe; Karina Ochoa Berkley</t>
        </is>
      </c>
      <c r="E302" t="inlineStr">
        <is>
          <t>Geoforum</t>
        </is>
      </c>
      <c r="F302" t="inlineStr">
        <is>
          <t>article</t>
        </is>
      </c>
      <c r="G302" t="inlineStr">
        <is>
          <t>10.1016/j.geoforum.2023.103731</t>
        </is>
      </c>
      <c r="H302" t="inlineStr">
        <is>
          <t>W4328050993</t>
        </is>
      </c>
      <c r="I302" t="inlineStr">
        <is>
          <t>https://doi.org/10.1016/j.geoforum.2023.103731</t>
        </is>
      </c>
      <c r="J302" t="inlineStr"/>
      <c r="K302" t="n">
        <v>14</v>
      </c>
      <c r="L302" t="inlineStr">
        <is>
          <t>C</t>
        </is>
      </c>
      <c r="M302" t="inlineStr">
        <is>
          <t>C2</t>
        </is>
      </c>
      <c r="N302" t="inlineStr"/>
      <c r="O302" t="inlineStr">
        <is>
          <t>India</t>
        </is>
      </c>
      <c r="P302" t="inlineStr">
        <is>
          <t>South Asia</t>
        </is>
      </c>
      <c r="Q302" t="inlineStr">
        <is>
          <t>Y</t>
        </is>
      </c>
      <c r="R302" t="inlineStr"/>
      <c r="S302" t="inlineStr"/>
      <c r="T302" t="inlineStr">
        <is>
          <t>unclear</t>
        </is>
      </c>
      <c r="U302" t="inlineStr"/>
      <c r="V302" t="inlineStr">
        <is>
          <t>Y</t>
        </is>
      </c>
      <c r="W302" t="inlineStr"/>
      <c r="X302" t="inlineStr"/>
      <c r="Y302" t="inlineStr"/>
      <c r="Z302" t="inlineStr">
        <is>
          <t>low</t>
        </is>
      </c>
      <c r="AA302" t="inlineStr">
        <is>
          <t>C2:india; C2:recent</t>
        </is>
      </c>
      <c r="AB302" t="inlineStr"/>
      <c r="AC302" t="n">
        <v>6.3084</v>
      </c>
    </row>
    <row r="303">
      <c r="A303" t="inlineStr">
        <is>
          <t>LM00302</t>
        </is>
      </c>
      <c r="B303" t="inlineStr">
        <is>
          <t>The spatial politics of platformization: Negotiating platform power in everyday taxi driving in Mumbai</t>
        </is>
      </c>
      <c r="C303" t="n">
        <v>2023</v>
      </c>
      <c r="D303" t="inlineStr">
        <is>
          <t>Tobias Kuttler</t>
        </is>
      </c>
      <c r="E303" t="inlineStr">
        <is>
          <t>Geoforum</t>
        </is>
      </c>
      <c r="F303" t="inlineStr">
        <is>
          <t>article</t>
        </is>
      </c>
      <c r="G303" t="inlineStr">
        <is>
          <t>10.1016/j.geoforum.2023.103890</t>
        </is>
      </c>
      <c r="H303" t="inlineStr">
        <is>
          <t>W4388581296</t>
        </is>
      </c>
      <c r="I303" t="inlineStr">
        <is>
          <t>https://doi.org/10.1016/j.geoforum.2023.103890</t>
        </is>
      </c>
      <c r="J303" t="inlineStr">
        <is>
          <t>https://www.econstor.eu/bitstream/10419/318878/1/Full-text-article-Kuttler-The-spatial-politics.pdf</t>
        </is>
      </c>
      <c r="K303" t="n">
        <v>13</v>
      </c>
      <c r="L303" t="inlineStr">
        <is>
          <t>C</t>
        </is>
      </c>
      <c r="M303" t="inlineStr">
        <is>
          <t>C2</t>
        </is>
      </c>
      <c r="N303" t="inlineStr"/>
      <c r="O303" t="inlineStr">
        <is>
          <t>Mumbai</t>
        </is>
      </c>
      <c r="P303" t="inlineStr">
        <is>
          <t>South Asia</t>
        </is>
      </c>
      <c r="Q303" t="inlineStr">
        <is>
          <t>Y</t>
        </is>
      </c>
      <c r="R303" t="inlineStr"/>
      <c r="S303" t="inlineStr"/>
      <c r="T303" t="inlineStr">
        <is>
          <t>unclear</t>
        </is>
      </c>
      <c r="U303" t="inlineStr"/>
      <c r="V303" t="inlineStr">
        <is>
          <t>Y</t>
        </is>
      </c>
      <c r="W303" t="inlineStr"/>
      <c r="X303" t="inlineStr"/>
      <c r="Y303" t="inlineStr"/>
      <c r="Z303" t="inlineStr">
        <is>
          <t>low</t>
        </is>
      </c>
      <c r="AA303" t="inlineStr">
        <is>
          <t>C2:india; C2:recent</t>
        </is>
      </c>
      <c r="AB303" t="inlineStr"/>
      <c r="AC303" t="n">
        <v>5.8578</v>
      </c>
    </row>
    <row r="304">
      <c r="A304" t="inlineStr">
        <is>
          <t>LM00303</t>
        </is>
      </c>
      <c r="B304" t="inlineStr">
        <is>
          <t>Is the COVID‐19 pandemic accelerating the platformisation of the urban economy?</t>
        </is>
      </c>
      <c r="C304" t="n">
        <v>2022</v>
      </c>
      <c r="D304" t="inlineStr">
        <is>
          <t>Daniela Ferreira; Renato Miguel do Carmo; Mário Vale</t>
        </is>
      </c>
      <c r="E304" t="inlineStr">
        <is>
          <t>Area</t>
        </is>
      </c>
      <c r="F304" t="inlineStr">
        <is>
          <t>article</t>
        </is>
      </c>
      <c r="G304" t="inlineStr">
        <is>
          <t>10.1111/area.12785</t>
        </is>
      </c>
      <c r="H304" t="inlineStr">
        <is>
          <t>W4210854233</t>
        </is>
      </c>
      <c r="I304" t="inlineStr">
        <is>
          <t>https://doi.org/10.1111/area.12785</t>
        </is>
      </c>
      <c r="J304" t="inlineStr">
        <is>
          <t>https://onlinelibrary.wiley.com/doi/pdfdirect/10.1111/area.12785</t>
        </is>
      </c>
      <c r="K304" t="n">
        <v>12</v>
      </c>
      <c r="L304" t="inlineStr">
        <is>
          <t>C</t>
        </is>
      </c>
      <c r="M304" t="inlineStr">
        <is>
          <t>C2</t>
        </is>
      </c>
      <c r="N304" t="inlineStr"/>
      <c r="O304" t="inlineStr">
        <is>
          <t>Lisbon</t>
        </is>
      </c>
      <c r="P304" t="inlineStr">
        <is>
          <t>Global North</t>
        </is>
      </c>
      <c r="Q304" t="inlineStr"/>
      <c r="R304" t="inlineStr"/>
      <c r="S304" t="inlineStr"/>
      <c r="T304" t="inlineStr">
        <is>
          <t>qualitative</t>
        </is>
      </c>
      <c r="U304" t="inlineStr"/>
      <c r="V304" t="inlineStr">
        <is>
          <t>Y</t>
        </is>
      </c>
      <c r="W304" t="inlineStr">
        <is>
          <t>auto: This paper shows that, while the pandemic lockdown decelerated everyday life, it has also potentiated further acceleration of the platformisation of urban economic sectors.</t>
        </is>
      </c>
      <c r="X304" t="inlineStr"/>
      <c r="Y304" t="inlineStr"/>
      <c r="Z304" t="inlineStr">
        <is>
          <t>high</t>
        </is>
      </c>
      <c r="AA304" t="inlineStr">
        <is>
          <t>C2:recent</t>
        </is>
      </c>
      <c r="AB304" t="inlineStr"/>
      <c r="AC304" t="n">
        <v>3.6261</v>
      </c>
    </row>
    <row r="305">
      <c r="A305" t="inlineStr">
        <is>
          <t>LM00304</t>
        </is>
      </c>
      <c r="B305" t="inlineStr">
        <is>
          <t>Spatiotemporal (In)justice in Digital Platforms: An Analysis of Food-Delivery Platforms in South India</t>
        </is>
      </c>
      <c r="C305" t="n">
        <v>2020</v>
      </c>
      <c r="D305" t="inlineStr">
        <is>
          <t>Shyam Krishna</t>
        </is>
      </c>
      <c r="E305" t="inlineStr">
        <is>
          <t>IFIP advances in information and communication technology</t>
        </is>
      </c>
      <c r="F305" t="inlineStr">
        <is>
          <t>conference-paper</t>
        </is>
      </c>
      <c r="G305" t="inlineStr">
        <is>
          <t>10.1007/978-3-030-64697-4_11</t>
        </is>
      </c>
      <c r="H305" t="inlineStr">
        <is>
          <t>W3107039429</t>
        </is>
      </c>
      <c r="I305" t="inlineStr">
        <is>
          <t>https://doi.org/10.1007/978-3-030-64697-4_11</t>
        </is>
      </c>
      <c r="J305" t="inlineStr">
        <is>
          <t>https://inria.hal.science/hal-03450730</t>
        </is>
      </c>
      <c r="K305" t="n">
        <v>10</v>
      </c>
      <c r="L305" t="inlineStr">
        <is>
          <t>C</t>
        </is>
      </c>
      <c r="M305" t="inlineStr">
        <is>
          <t>C2</t>
        </is>
      </c>
      <c r="N305" t="inlineStr"/>
      <c r="O305" t="inlineStr">
        <is>
          <t>India</t>
        </is>
      </c>
      <c r="P305" t="inlineStr">
        <is>
          <t>South Asia</t>
        </is>
      </c>
      <c r="Q305" t="inlineStr">
        <is>
          <t>Y</t>
        </is>
      </c>
      <c r="R305" t="inlineStr"/>
      <c r="S305" t="inlineStr"/>
      <c r="T305" t="inlineStr">
        <is>
          <t>unclear</t>
        </is>
      </c>
      <c r="U305" t="inlineStr"/>
      <c r="V305" t="inlineStr"/>
      <c r="W305" t="inlineStr"/>
      <c r="X305" t="inlineStr"/>
      <c r="Y305" t="inlineStr"/>
      <c r="Z305" t="inlineStr">
        <is>
          <t>low</t>
        </is>
      </c>
      <c r="AA305" t="inlineStr">
        <is>
          <t>C2:india</t>
        </is>
      </c>
      <c r="AB305" t="inlineStr"/>
      <c r="AC305" t="n">
        <v>1.6361</v>
      </c>
    </row>
    <row r="306">
      <c r="A306" t="inlineStr">
        <is>
          <t>LM00305</t>
        </is>
      </c>
      <c r="B306" t="inlineStr">
        <is>
          <t>Platforms in the city and cities at the service of platforms: An urban perspective on the platform economy and workers’ responses</t>
        </is>
      </c>
      <c r="C306" t="n">
        <v>2023</v>
      </c>
      <c r="D306" t="inlineStr">
        <is>
          <t>Maël Dif‐Pradalier; Thomas Jammet; Julie Tiberghien; Filippo Bignami; Niccolò Cuppini</t>
        </is>
      </c>
      <c r="E306" t="inlineStr">
        <is>
          <t>The Economic and Labour Relations Review</t>
        </is>
      </c>
      <c r="F306" t="inlineStr">
        <is>
          <t>article</t>
        </is>
      </c>
      <c r="G306" t="inlineStr">
        <is>
          <t>10.1017/elr.2023.53</t>
        </is>
      </c>
      <c r="H306" t="inlineStr">
        <is>
          <t>W4390505542</t>
        </is>
      </c>
      <c r="I306" t="inlineStr">
        <is>
          <t>https://doi.org/10.1017/elr.2023.53</t>
        </is>
      </c>
      <c r="J306" t="inlineStr">
        <is>
          <t>https://www.cambridge.org/core/services/aop-cambridge-core/content/view/8DCA9C91DC369B9BDA2442171CB52C71/S1035304623000534a.pdf/div-class-title-platforms-in-the-city-and-cities-at-the-service-of-platforms-an-urban-perspective-on-the-platform-economy-and-workers-responses-div.pdf</t>
        </is>
      </c>
      <c r="K306" t="n">
        <v>10</v>
      </c>
      <c r="L306" t="inlineStr">
        <is>
          <t>C</t>
        </is>
      </c>
      <c r="M306" t="inlineStr">
        <is>
          <t>C2</t>
        </is>
      </c>
      <c r="N306" t="inlineStr"/>
      <c r="O306" t="inlineStr">
        <is>
          <t>European</t>
        </is>
      </c>
      <c r="P306" t="inlineStr">
        <is>
          <t>Global North</t>
        </is>
      </c>
      <c r="Q306" t="inlineStr"/>
      <c r="R306" t="inlineStr"/>
      <c r="S306" t="inlineStr"/>
      <c r="T306" t="inlineStr">
        <is>
          <t>conceptual</t>
        </is>
      </c>
      <c r="U306" t="inlineStr"/>
      <c r="V306" t="inlineStr">
        <is>
          <t>Y</t>
        </is>
      </c>
      <c r="W306" t="inlineStr">
        <is>
          <t>auto: Abstract The social and economic impacts of the emerging platform economy are most obvious in urban settings, where platforms are giving rise to unfamiliar dynamics of inclusion and exclusion, cooperation and division, as well as social and political integration and fragmentation.</t>
        </is>
      </c>
      <c r="X306" t="inlineStr"/>
      <c r="Y306" t="inlineStr"/>
      <c r="Z306" t="inlineStr">
        <is>
          <t>medium</t>
        </is>
      </c>
      <c r="AA306" t="inlineStr">
        <is>
          <t>C2:recent</t>
        </is>
      </c>
      <c r="AB306" t="inlineStr"/>
      <c r="AC306" t="n">
        <v>4.506</v>
      </c>
    </row>
    <row r="307">
      <c r="A307" t="inlineStr">
        <is>
          <t>LM00306</t>
        </is>
      </c>
      <c r="B307" t="inlineStr">
        <is>
          <t>Platformization of Urban Life</t>
        </is>
      </c>
      <c r="C307" t="n">
        <v>2022</v>
      </c>
      <c r="D307" t="inlineStr"/>
      <c r="E307" t="inlineStr">
        <is>
          <t>transcript Verlag eBooks</t>
        </is>
      </c>
      <c r="F307" t="inlineStr">
        <is>
          <t>book</t>
        </is>
      </c>
      <c r="G307" t="inlineStr">
        <is>
          <t>10.1515/9783839459645</t>
        </is>
      </c>
      <c r="H307" t="inlineStr">
        <is>
          <t>W4297859249</t>
        </is>
      </c>
      <c r="I307" t="inlineStr">
        <is>
          <t>https://doi.org/10.1515/9783839459645</t>
        </is>
      </c>
      <c r="J307" t="inlineStr">
        <is>
          <t>https://doi.org/10.1515/9783839459645</t>
        </is>
      </c>
      <c r="K307" t="n">
        <v>9</v>
      </c>
      <c r="L307" t="inlineStr">
        <is>
          <t>C</t>
        </is>
      </c>
      <c r="M307" t="inlineStr">
        <is>
          <t>C2</t>
        </is>
      </c>
      <c r="N307" t="inlineStr"/>
      <c r="O307" t="inlineStr">
        <is>
          <t>Austria; Germany; Graz; Netherlands</t>
        </is>
      </c>
      <c r="P307" t="inlineStr">
        <is>
          <t>Global North</t>
        </is>
      </c>
      <c r="Q307" t="inlineStr"/>
      <c r="R307" t="inlineStr"/>
      <c r="S307" t="inlineStr"/>
      <c r="T307" t="inlineStr">
        <is>
          <t>unclear</t>
        </is>
      </c>
      <c r="U307" t="inlineStr"/>
      <c r="V307" t="inlineStr">
        <is>
          <t>Y</t>
        </is>
      </c>
      <c r="W307" t="inlineStr">
        <is>
          <t>auto: Anke Strüver is a professor of human geography with a focus on urban studies at the University of Graz (Austria).In 2004 she completed her PhD at Radboud Universiteit Nijmegen (Netherlands) on the socio-cultural production of cross-border spaces and their effects on everyday practices.Her researc…</t>
        </is>
      </c>
      <c r="X307" t="inlineStr"/>
      <c r="Y307" t="inlineStr"/>
      <c r="Z307" t="inlineStr">
        <is>
          <t>high</t>
        </is>
      </c>
      <c r="AA307" t="inlineStr">
        <is>
          <t>C2:recent</t>
        </is>
      </c>
      <c r="AB307" t="inlineStr">
        <is>
          <t>W4296182860</t>
        </is>
      </c>
      <c r="AC307" t="n">
        <v>2.5818</v>
      </c>
    </row>
    <row r="308">
      <c r="A308" t="inlineStr">
        <is>
          <t>LM00307</t>
        </is>
      </c>
      <c r="B308" t="inlineStr">
        <is>
          <t>Digital platforms and the spatial transformation of urban villages in southern China: a case for platform-urban villagism?</t>
        </is>
      </c>
      <c r="C308" t="n">
        <v>2024</v>
      </c>
      <c r="D308" t="inlineStr">
        <is>
          <t>Aiping Kuang; Godfrey Kwok-yung Yeung; Mingfeng Wang; Zhang Xiao</t>
        </is>
      </c>
      <c r="E308" t="inlineStr">
        <is>
          <t>Urban Geography</t>
        </is>
      </c>
      <c r="F308" t="inlineStr">
        <is>
          <t>article</t>
        </is>
      </c>
      <c r="G308" t="inlineStr">
        <is>
          <t>10.1080/02723638.2024.2359308</t>
        </is>
      </c>
      <c r="H308" t="inlineStr">
        <is>
          <t>W4400084617</t>
        </is>
      </c>
      <c r="I308" t="inlineStr">
        <is>
          <t>https://doi.org/10.1080/02723638.2024.2359308</t>
        </is>
      </c>
      <c r="J308" t="inlineStr"/>
      <c r="K308" t="n">
        <v>9</v>
      </c>
      <c r="L308" t="inlineStr">
        <is>
          <t>C</t>
        </is>
      </c>
      <c r="M308" t="inlineStr">
        <is>
          <t>C2</t>
        </is>
      </c>
      <c r="N308" t="inlineStr"/>
      <c r="O308" t="inlineStr">
        <is>
          <t>China; Guangzhou</t>
        </is>
      </c>
      <c r="P308" t="inlineStr">
        <is>
          <t>China &amp; East Asia</t>
        </is>
      </c>
      <c r="Q308" t="inlineStr"/>
      <c r="R308" t="inlineStr"/>
      <c r="S308" t="inlineStr"/>
      <c r="T308" t="inlineStr">
        <is>
          <t>conceptual</t>
        </is>
      </c>
      <c r="U308" t="inlineStr"/>
      <c r="V308" t="inlineStr">
        <is>
          <t>Y</t>
        </is>
      </c>
      <c r="W308" t="inlineStr">
        <is>
          <t>auto: In contrast to the dichotomy of platform urbanism-ruralism populated in recent urban geography, we propose an analytical framework of “platform-urban villagism” to examine the roles and impacts of digital platforms on the ongoing spatial transformations in urban villages in southern China.</t>
        </is>
      </c>
      <c r="X308" t="inlineStr"/>
      <c r="Y308" t="inlineStr"/>
      <c r="Z308" t="inlineStr">
        <is>
          <t>high</t>
        </is>
      </c>
      <c r="AA308" t="inlineStr">
        <is>
          <t>C2:recent</t>
        </is>
      </c>
      <c r="AB308" t="inlineStr"/>
      <c r="AC308" t="n">
        <v>9.808</v>
      </c>
    </row>
    <row r="309">
      <c r="A309" t="inlineStr">
        <is>
          <t>LM00308</t>
        </is>
      </c>
      <c r="B309" t="inlineStr">
        <is>
          <t>Urban mobilities in Mumbai: Towards worker-centric platformisation beyond ‘urban solutionism’</t>
        </is>
      </c>
      <c r="C309" t="n">
        <v>2024</v>
      </c>
      <c r="D309" t="inlineStr">
        <is>
          <t>Tobias Kuttler</t>
        </is>
      </c>
      <c r="E309" t="inlineStr">
        <is>
          <t>Urban Studies</t>
        </is>
      </c>
      <c r="F309" t="inlineStr">
        <is>
          <t>article</t>
        </is>
      </c>
      <c r="G309" t="inlineStr">
        <is>
          <t>10.1177/00420980241264645</t>
        </is>
      </c>
      <c r="H309" t="inlineStr">
        <is>
          <t>W4401101618</t>
        </is>
      </c>
      <c r="I309" t="inlineStr">
        <is>
          <t>https://doi.org/10.1177/00420980241264645</t>
        </is>
      </c>
      <c r="J309" t="inlineStr">
        <is>
          <t>https://doi.org/10.1177/00420980241264645</t>
        </is>
      </c>
      <c r="K309" t="n">
        <v>8</v>
      </c>
      <c r="L309" t="inlineStr">
        <is>
          <t>C</t>
        </is>
      </c>
      <c r="M309" t="inlineStr">
        <is>
          <t>C2</t>
        </is>
      </c>
      <c r="N309" t="inlineStr"/>
      <c r="O309" t="inlineStr">
        <is>
          <t>India; Mumbai</t>
        </is>
      </c>
      <c r="P309" t="inlineStr">
        <is>
          <t>South Asia</t>
        </is>
      </c>
      <c r="Q309" t="inlineStr">
        <is>
          <t>Y</t>
        </is>
      </c>
      <c r="R309" t="inlineStr"/>
      <c r="S309" t="inlineStr"/>
      <c r="T309" t="inlineStr">
        <is>
          <t>qualitative</t>
        </is>
      </c>
      <c r="U309" t="inlineStr"/>
      <c r="V309" t="inlineStr">
        <is>
          <t>Y</t>
        </is>
      </c>
      <c r="W309" t="inlineStr">
        <is>
          <t>auto: This paper examines the potential of ride-hailing platforms through a more critical lens.</t>
        </is>
      </c>
      <c r="X309" t="inlineStr"/>
      <c r="Y309" t="inlineStr"/>
      <c r="Z309" t="inlineStr">
        <is>
          <t>high</t>
        </is>
      </c>
      <c r="AA309" t="inlineStr">
        <is>
          <t>C2:india</t>
        </is>
      </c>
      <c r="AB309" t="inlineStr"/>
      <c r="AC309" t="n">
        <v>6.1296</v>
      </c>
    </row>
    <row r="310">
      <c r="A310" t="inlineStr">
        <is>
          <t>LM00309</t>
        </is>
      </c>
      <c r="B310" t="inlineStr">
        <is>
          <t>Smart City Governance and the challenge of digital platforms within the public sector</t>
        </is>
      </c>
      <c r="C310" t="n">
        <v>2022</v>
      </c>
      <c r="D310" t="inlineStr">
        <is>
          <t>Viviana Vaira</t>
        </is>
      </c>
      <c r="E310" t="inlineStr">
        <is>
          <t>IEEE International Smart Cities Conference (ISC2)</t>
        </is>
      </c>
      <c r="F310" t="inlineStr">
        <is>
          <t>conference-paper</t>
        </is>
      </c>
      <c r="G310" t="inlineStr">
        <is>
          <t>10.1109/isc255366.2022.9922452</t>
        </is>
      </c>
      <c r="H310" t="inlineStr">
        <is>
          <t>W4308087287</t>
        </is>
      </c>
      <c r="I310" t="inlineStr">
        <is>
          <t>https://doi.org/10.1109/isc255366.2022.9922452</t>
        </is>
      </c>
      <c r="J310" t="inlineStr"/>
      <c r="K310" t="n">
        <v>7</v>
      </c>
      <c r="L310" t="inlineStr">
        <is>
          <t>C</t>
        </is>
      </c>
      <c r="M310" t="inlineStr">
        <is>
          <t>C2</t>
        </is>
      </c>
      <c r="N310" t="inlineStr"/>
      <c r="O310" t="inlineStr"/>
      <c r="P310" t="inlineStr">
        <is>
          <t>Not place-specific</t>
        </is>
      </c>
      <c r="Q310" t="inlineStr"/>
      <c r="R310" t="inlineStr"/>
      <c r="S310" t="inlineStr"/>
      <c r="T310" t="inlineStr">
        <is>
          <t>unclear</t>
        </is>
      </c>
      <c r="U310" t="inlineStr"/>
      <c r="V310" t="inlineStr">
        <is>
          <t>Y</t>
        </is>
      </c>
      <c r="W310" t="inlineStr">
        <is>
          <t>auto: This paper focuses on a compared analysis of the ongoing “platformization” and on the so-called Government-as-a-Platform (GaaP) approach applied to Smart City-paradigm.</t>
        </is>
      </c>
      <c r="X310" t="inlineStr"/>
      <c r="Y310" t="inlineStr"/>
      <c r="Z310" t="inlineStr">
        <is>
          <t>high</t>
        </is>
      </c>
      <c r="AA310" t="inlineStr">
        <is>
          <t>C2:recent</t>
        </is>
      </c>
      <c r="AB310" t="inlineStr"/>
      <c r="AC310" t="n">
        <v>2.4884</v>
      </c>
    </row>
    <row r="311">
      <c r="A311" t="inlineStr">
        <is>
          <t>LM00310</t>
        </is>
      </c>
      <c r="B311" t="inlineStr">
        <is>
          <t>From platform capitalism to strategic place-based platformisation?</t>
        </is>
      </c>
      <c r="C311" t="n">
        <v>2025</v>
      </c>
      <c r="D311" t="inlineStr">
        <is>
          <t>Mike Hodson; Andrew McMeekin; Andy Lockhart</t>
        </is>
      </c>
      <c r="E311" t="inlineStr">
        <is>
          <t>Environment and Planning A Economy and Space</t>
        </is>
      </c>
      <c r="F311" t="inlineStr">
        <is>
          <t>article</t>
        </is>
      </c>
      <c r="G311" t="inlineStr">
        <is>
          <t>10.1177/0308518x251342914</t>
        </is>
      </c>
      <c r="H311" t="inlineStr">
        <is>
          <t>W4413202214</t>
        </is>
      </c>
      <c r="I311" t="inlineStr">
        <is>
          <t>https://doi.org/10.1177/0308518x251342914</t>
        </is>
      </c>
      <c r="J311" t="inlineStr">
        <is>
          <t>https://assets.publishing.service.gov.uk/media/5a8169cbed915d74e33fe131/West_Midlands_devolution_deal_unsigned_final_web.pdf</t>
        </is>
      </c>
      <c r="K311" t="n">
        <v>6</v>
      </c>
      <c r="L311" t="inlineStr">
        <is>
          <t>C</t>
        </is>
      </c>
      <c r="M311" t="inlineStr">
        <is>
          <t>C2</t>
        </is>
      </c>
      <c r="N311" t="inlineStr"/>
      <c r="O311" t="inlineStr"/>
      <c r="P311" t="inlineStr">
        <is>
          <t>Not place-specific</t>
        </is>
      </c>
      <c r="Q311" t="inlineStr"/>
      <c r="R311" t="inlineStr"/>
      <c r="S311" t="inlineStr"/>
      <c r="T311" t="inlineStr">
        <is>
          <t>conceptual</t>
        </is>
      </c>
      <c r="U311" t="inlineStr"/>
      <c r="V311" t="inlineStr">
        <is>
          <t>Y</t>
        </is>
      </c>
      <c r="W311" t="inlineStr">
        <is>
          <t>auto: In this paper we argue that there is a need to strengthen understanding of the role of urban (governing and infrastructural) context in platform urbanism.</t>
        </is>
      </c>
      <c r="X311" t="inlineStr"/>
      <c r="Y311" t="inlineStr"/>
      <c r="Z311" t="inlineStr">
        <is>
          <t>high</t>
        </is>
      </c>
      <c r="AA311" t="inlineStr">
        <is>
          <t>C2:recent</t>
        </is>
      </c>
      <c r="AB311" t="inlineStr"/>
      <c r="AC311" t="n">
        <v>11.5987</v>
      </c>
    </row>
    <row r="312">
      <c r="A312" t="inlineStr">
        <is>
          <t>LM00311</t>
        </is>
      </c>
      <c r="B312" t="inlineStr">
        <is>
          <t>Localized processes of platformization: The example of Surabaya</t>
        </is>
      </c>
      <c r="C312" t="n">
        <v>2025</v>
      </c>
      <c r="D312" t="inlineStr">
        <is>
          <t>Alessandra Renzi; Janna Frenzel</t>
        </is>
      </c>
      <c r="E312" t="inlineStr">
        <is>
          <t>Big Data &amp; Society</t>
        </is>
      </c>
      <c r="F312" t="inlineStr">
        <is>
          <t>article</t>
        </is>
      </c>
      <c r="G312" t="inlineStr">
        <is>
          <t>10.1177/20539517251338776</t>
        </is>
      </c>
      <c r="H312" t="inlineStr">
        <is>
          <t>W4410311984</t>
        </is>
      </c>
      <c r="I312" t="inlineStr">
        <is>
          <t>https://doi.org/10.1177/20539517251338776</t>
        </is>
      </c>
      <c r="J312" t="inlineStr">
        <is>
          <t>https://doi.org/10.1177/20539517251338776</t>
        </is>
      </c>
      <c r="K312" t="n">
        <v>5</v>
      </c>
      <c r="L312" t="inlineStr">
        <is>
          <t>C</t>
        </is>
      </c>
      <c r="M312" t="inlineStr">
        <is>
          <t>C2</t>
        </is>
      </c>
      <c r="N312" t="inlineStr"/>
      <c r="O312" t="inlineStr">
        <is>
          <t>Indonesia; Surabaya</t>
        </is>
      </c>
      <c r="P312" t="inlineStr">
        <is>
          <t>Southeast Asia</t>
        </is>
      </c>
      <c r="Q312" t="inlineStr"/>
      <c r="R312" t="inlineStr"/>
      <c r="S312" t="inlineStr"/>
      <c r="T312" t="inlineStr">
        <is>
          <t>conceptual</t>
        </is>
      </c>
      <c r="U312" t="inlineStr"/>
      <c r="V312" t="inlineStr">
        <is>
          <t>Y</t>
        </is>
      </c>
      <c r="W312" t="inlineStr">
        <is>
          <t>auto: This article analyzes how universalist paradigms for platform urbanism are being adapted, modulated, and subverted through an evolving platform ecosystem that is specific to the city of Surabaya, Indonesia's second largest city.</t>
        </is>
      </c>
      <c r="X312" t="inlineStr"/>
      <c r="Y312" t="inlineStr"/>
      <c r="Z312" t="inlineStr">
        <is>
          <t>high</t>
        </is>
      </c>
      <c r="AA312" t="inlineStr">
        <is>
          <t>C2:recent</t>
        </is>
      </c>
      <c r="AB312" t="inlineStr"/>
      <c r="AC312" t="n">
        <v>2.3317</v>
      </c>
    </row>
    <row r="313">
      <c r="A313" t="inlineStr">
        <is>
          <t>LM00312</t>
        </is>
      </c>
      <c r="B313" t="inlineStr">
        <is>
          <t>Between algorithms and the streets</t>
        </is>
      </c>
      <c r="C313" t="n">
        <v>2020</v>
      </c>
      <c r="D313" t="inlineStr">
        <is>
          <t>Anurag Mazumdar</t>
        </is>
      </c>
      <c r="E313" t="inlineStr">
        <is>
          <t>Routledge eBooks</t>
        </is>
      </c>
      <c r="F313" t="inlineStr">
        <is>
          <t>book-chapter</t>
        </is>
      </c>
      <c r="G313" t="inlineStr">
        <is>
          <t>10.4324/9780429319754-20</t>
        </is>
      </c>
      <c r="H313" t="inlineStr">
        <is>
          <t>W3093740643</t>
        </is>
      </c>
      <c r="I313" t="inlineStr">
        <is>
          <t>https://doi.org/10.4324/9780429319754-20</t>
        </is>
      </c>
      <c r="J313" t="inlineStr"/>
      <c r="K313" t="n">
        <v>4</v>
      </c>
      <c r="L313" t="inlineStr">
        <is>
          <t>C</t>
        </is>
      </c>
      <c r="M313" t="inlineStr">
        <is>
          <t>C2</t>
        </is>
      </c>
      <c r="N313" t="inlineStr"/>
      <c r="O313" t="inlineStr">
        <is>
          <t>India</t>
        </is>
      </c>
      <c r="P313" t="inlineStr">
        <is>
          <t>South Asia</t>
        </is>
      </c>
      <c r="Q313" t="inlineStr">
        <is>
          <t>Y</t>
        </is>
      </c>
      <c r="R313" t="inlineStr"/>
      <c r="S313" t="inlineStr"/>
      <c r="T313" t="inlineStr">
        <is>
          <t>qualitative</t>
        </is>
      </c>
      <c r="U313" t="inlineStr"/>
      <c r="V313" t="inlineStr"/>
      <c r="W313" t="inlineStr">
        <is>
          <t>auto: This chapter explores the contestations and affordances of the ride-hailing economy, the practices and discourses of performing “community” and the governance of and by platforms.</t>
        </is>
      </c>
      <c r="X313" t="inlineStr"/>
      <c r="Y313" t="inlineStr"/>
      <c r="Z313" t="inlineStr">
        <is>
          <t>high</t>
        </is>
      </c>
      <c r="AA313" t="inlineStr">
        <is>
          <t>C2:india</t>
        </is>
      </c>
      <c r="AB313" t="inlineStr"/>
      <c r="AC313" t="n">
        <v>1.7449</v>
      </c>
    </row>
    <row r="314">
      <c r="A314" t="inlineStr">
        <is>
          <t>LM00313</t>
        </is>
      </c>
      <c r="B314" t="inlineStr">
        <is>
          <t>Platformized Cities and Urban Life</t>
        </is>
      </c>
      <c r="C314" t="n">
        <v>2022</v>
      </c>
      <c r="D314" t="inlineStr">
        <is>
          <t>Sybille Bauriedl; Anke Strüver</t>
        </is>
      </c>
      <c r="E314" t="inlineStr">
        <is>
          <t>Urban studies</t>
        </is>
      </c>
      <c r="F314" t="inlineStr">
        <is>
          <t>book-chapter</t>
        </is>
      </c>
      <c r="G314" t="inlineStr">
        <is>
          <t>10.14361/9783839459645-002</t>
        </is>
      </c>
      <c r="H314" t="inlineStr">
        <is>
          <t>W4296177871</t>
        </is>
      </c>
      <c r="I314" t="inlineStr">
        <is>
          <t>https://doi.org/10.14361/9783839459645-002</t>
        </is>
      </c>
      <c r="J314" t="inlineStr">
        <is>
          <t>https://doi.org/10.14361/9783839459645-002</t>
        </is>
      </c>
      <c r="K314" t="n">
        <v>3</v>
      </c>
      <c r="L314" t="inlineStr">
        <is>
          <t>C</t>
        </is>
      </c>
      <c r="M314" t="inlineStr">
        <is>
          <t>C2</t>
        </is>
      </c>
      <c r="N314" t="inlineStr"/>
      <c r="O314" t="inlineStr"/>
      <c r="P314" t="inlineStr">
        <is>
          <t>Not place-specific</t>
        </is>
      </c>
      <c r="Q314" t="inlineStr"/>
      <c r="R314" t="inlineStr"/>
      <c r="S314" t="inlineStr"/>
      <c r="T314" t="inlineStr">
        <is>
          <t>unclear</t>
        </is>
      </c>
      <c r="U314" t="inlineStr"/>
      <c r="V314" t="inlineStr"/>
      <c r="W314" t="inlineStr"/>
      <c r="X314" t="inlineStr"/>
      <c r="Y314" t="inlineStr"/>
      <c r="Z314" t="inlineStr">
        <is>
          <t>low</t>
        </is>
      </c>
      <c r="AA314" t="inlineStr">
        <is>
          <t>C2:recent</t>
        </is>
      </c>
      <c r="AB314" t="inlineStr">
        <is>
          <t>W4297869793</t>
        </is>
      </c>
      <c r="AC314" t="n">
        <v>0.7493</v>
      </c>
    </row>
    <row r="315">
      <c r="A315" t="inlineStr">
        <is>
          <t>LM00314</t>
        </is>
      </c>
      <c r="B315" t="inlineStr">
        <is>
          <t>Parasitic platform urbanism in Dhaka and Melbourne</t>
        </is>
      </c>
      <c r="C315" t="n">
        <v>2025</v>
      </c>
      <c r="D315" t="inlineStr">
        <is>
          <t>Lutfun Nahar Lata; Andrew Copolov</t>
        </is>
      </c>
      <c r="E315" t="inlineStr">
        <is>
          <t>Human Geography</t>
        </is>
      </c>
      <c r="F315" t="inlineStr">
        <is>
          <t>article</t>
        </is>
      </c>
      <c r="G315" t="inlineStr">
        <is>
          <t>10.1177/19427786251321611</t>
        </is>
      </c>
      <c r="H315" t="inlineStr">
        <is>
          <t>W4408523117</t>
        </is>
      </c>
      <c r="I315" t="inlineStr">
        <is>
          <t>https://doi.org/10.1177/19427786251321611</t>
        </is>
      </c>
      <c r="J315" t="inlineStr">
        <is>
          <t>https://doi.org/10.1177/19427786251321611</t>
        </is>
      </c>
      <c r="K315" t="n">
        <v>3</v>
      </c>
      <c r="L315" t="inlineStr">
        <is>
          <t>C</t>
        </is>
      </c>
      <c r="M315" t="inlineStr">
        <is>
          <t>C2</t>
        </is>
      </c>
      <c r="N315" t="inlineStr"/>
      <c r="O315" t="inlineStr">
        <is>
          <t>Dhaka; Melbourne</t>
        </is>
      </c>
      <c r="P315" t="inlineStr">
        <is>
          <t>Multi-region</t>
        </is>
      </c>
      <c r="Q315" t="inlineStr"/>
      <c r="R315" t="inlineStr"/>
      <c r="S315" t="inlineStr"/>
      <c r="T315" t="inlineStr">
        <is>
          <t>conceptual</t>
        </is>
      </c>
      <c r="U315" t="inlineStr"/>
      <c r="V315" t="inlineStr">
        <is>
          <t>Y</t>
        </is>
      </c>
      <c r="W315" t="inlineStr">
        <is>
          <t>auto: This paper explores the relationship between platform-mediated labour on Uber, Pathao, UberEats and DoorDash, and the public infrastructures of two cities – Dhaka and Melbourne.</t>
        </is>
      </c>
      <c r="X315" t="inlineStr"/>
      <c r="Y315" t="inlineStr"/>
      <c r="Z315" t="inlineStr">
        <is>
          <t>high</t>
        </is>
      </c>
      <c r="AA315" t="inlineStr">
        <is>
          <t>C2:india</t>
        </is>
      </c>
      <c r="AB315" t="inlineStr"/>
      <c r="AC315" t="n">
        <v>5.7994</v>
      </c>
    </row>
    <row r="316">
      <c r="A316" t="inlineStr">
        <is>
          <t>LM00315</t>
        </is>
      </c>
      <c r="B316" t="inlineStr">
        <is>
          <t>Conceptualising urban informality in the platform economy: regulation, legitimisation, value extraction and collective agency</t>
        </is>
      </c>
      <c r="C316" t="n">
        <v>2025</v>
      </c>
      <c r="D316" t="inlineStr">
        <is>
          <t>Mindy Park; Christopher Foster; Richard Heeks</t>
        </is>
      </c>
      <c r="E316" t="inlineStr">
        <is>
          <t>International Development Planning Review</t>
        </is>
      </c>
      <c r="F316" t="inlineStr">
        <is>
          <t>article</t>
        </is>
      </c>
      <c r="G316" t="inlineStr">
        <is>
          <t>10.3828/idpr.2025.10</t>
        </is>
      </c>
      <c r="H316" t="inlineStr">
        <is>
          <t>W4411061774</t>
        </is>
      </c>
      <c r="I316" t="inlineStr">
        <is>
          <t>https://doi.org/10.3828/idpr.2025.10</t>
        </is>
      </c>
      <c r="J316" t="inlineStr">
        <is>
          <t>https://doi.org/10.3828/idpr.2025.10</t>
        </is>
      </c>
      <c r="K316" t="n">
        <v>3</v>
      </c>
      <c r="L316" t="inlineStr">
        <is>
          <t>C</t>
        </is>
      </c>
      <c r="M316" t="inlineStr">
        <is>
          <t>C2</t>
        </is>
      </c>
      <c r="N316" t="inlineStr"/>
      <c r="O316" t="inlineStr"/>
      <c r="P316" t="inlineStr">
        <is>
          <t>Not place-specific</t>
        </is>
      </c>
      <c r="Q316" t="inlineStr"/>
      <c r="R316" t="inlineStr"/>
      <c r="S316" t="inlineStr"/>
      <c r="T316" t="inlineStr">
        <is>
          <t>review</t>
        </is>
      </c>
      <c r="U316" t="inlineStr"/>
      <c r="V316" t="inlineStr">
        <is>
          <t>Y</t>
        </is>
      </c>
      <c r="W316" t="inlineStr">
        <is>
          <t>auto: To develop our understanding of urban informality in the platform age, this paper situates Southern urbanism at this interface and explores the dynamics it creates.</t>
        </is>
      </c>
      <c r="X316" t="inlineStr"/>
      <c r="Y316" t="inlineStr"/>
      <c r="Z316" t="inlineStr">
        <is>
          <t>medium</t>
        </is>
      </c>
      <c r="AA316" t="inlineStr">
        <is>
          <t>C2:recent</t>
        </is>
      </c>
      <c r="AB316" t="inlineStr"/>
      <c r="AC316" t="n">
        <v>6.3506</v>
      </c>
    </row>
    <row r="317">
      <c r="A317" t="inlineStr">
        <is>
          <t>LM00316</t>
        </is>
      </c>
      <c r="B317" t="inlineStr">
        <is>
          <t>Handbook of Platform Urbanism</t>
        </is>
      </c>
      <c r="C317" t="n">
        <v>2025</v>
      </c>
      <c r="D317" t="inlineStr">
        <is>
          <t>Annelien Smets; Pieter Ballon</t>
        </is>
      </c>
      <c r="E317" t="inlineStr">
        <is>
          <t>Edward Elgar Publishing eBooks</t>
        </is>
      </c>
      <c r="F317" t="inlineStr">
        <is>
          <t>book</t>
        </is>
      </c>
      <c r="G317" t="inlineStr">
        <is>
          <t>10.4337/9781035313761</t>
        </is>
      </c>
      <c r="H317" t="inlineStr">
        <is>
          <t>W7119772929</t>
        </is>
      </c>
      <c r="I317" t="inlineStr">
        <is>
          <t>https://doi.org/10.4337/9781035313761</t>
        </is>
      </c>
      <c r="J317" t="inlineStr"/>
      <c r="K317" t="n">
        <v>3</v>
      </c>
      <c r="L317" t="inlineStr">
        <is>
          <t>C</t>
        </is>
      </c>
      <c r="M317" t="inlineStr">
        <is>
          <t>C2</t>
        </is>
      </c>
      <c r="N317" t="inlineStr"/>
      <c r="O317" t="inlineStr">
        <is>
          <t>Ireland</t>
        </is>
      </c>
      <c r="P317" t="inlineStr">
        <is>
          <t>Global North</t>
        </is>
      </c>
      <c r="Q317" t="inlineStr"/>
      <c r="R317" t="inlineStr"/>
      <c r="S317" t="inlineStr"/>
      <c r="T317" t="inlineStr">
        <is>
          <t>conceptual</t>
        </is>
      </c>
      <c r="U317" t="inlineStr"/>
      <c r="V317" t="inlineStr">
        <is>
          <t>Y</t>
        </is>
      </c>
      <c r="W317" t="inlineStr">
        <is>
          <t>auto: ‘This book is an essential primer for platform urbanism providing a comprehensive overview of how platformed apps are reshaping the organisation and operation of city services across the globe.</t>
        </is>
      </c>
      <c r="X317" t="inlineStr"/>
      <c r="Y317" t="inlineStr"/>
      <c r="Z317" t="inlineStr">
        <is>
          <t>high</t>
        </is>
      </c>
      <c r="AA317" t="inlineStr">
        <is>
          <t>C2:recent</t>
        </is>
      </c>
      <c r="AB317" t="inlineStr"/>
      <c r="AC317" t="n">
        <v>6.0504</v>
      </c>
    </row>
    <row r="318">
      <c r="A318" t="inlineStr">
        <is>
          <t>LM00317</t>
        </is>
      </c>
      <c r="B318" t="inlineStr">
        <is>
          <t>Opportunities or challenges? Upgrading of periphery space with the rise of platform urbanism: Live streaming commerce in Yangtze River Delta, China</t>
        </is>
      </c>
      <c r="C318" t="n">
        <v>2026</v>
      </c>
      <c r="D318" t="inlineStr">
        <is>
          <t>Lin Zou; Yiwen Zhu; Simin Yan</t>
        </is>
      </c>
      <c r="E318" t="inlineStr">
        <is>
          <t>Applied Geography</t>
        </is>
      </c>
      <c r="F318" t="inlineStr">
        <is>
          <t>article</t>
        </is>
      </c>
      <c r="G318" t="inlineStr">
        <is>
          <t>10.1016/j.apgeog.2026.103918</t>
        </is>
      </c>
      <c r="H318" t="inlineStr">
        <is>
          <t>W7128306890</t>
        </is>
      </c>
      <c r="I318" t="inlineStr">
        <is>
          <t>https://doi.org/10.1016/j.apgeog.2026.103918</t>
        </is>
      </c>
      <c r="J318" t="inlineStr"/>
      <c r="K318" t="n">
        <v>3</v>
      </c>
      <c r="L318" t="inlineStr">
        <is>
          <t>C</t>
        </is>
      </c>
      <c r="M318" t="inlineStr">
        <is>
          <t>C2</t>
        </is>
      </c>
      <c r="N318" t="inlineStr"/>
      <c r="O318" t="inlineStr">
        <is>
          <t>China</t>
        </is>
      </c>
      <c r="P318" t="inlineStr">
        <is>
          <t>China &amp; East Asia</t>
        </is>
      </c>
      <c r="Q318" t="inlineStr"/>
      <c r="R318" t="inlineStr"/>
      <c r="S318" t="inlineStr"/>
      <c r="T318" t="inlineStr">
        <is>
          <t>unclear</t>
        </is>
      </c>
      <c r="U318" t="inlineStr"/>
      <c r="V318" t="inlineStr">
        <is>
          <t>Y</t>
        </is>
      </c>
      <c r="W318" t="inlineStr"/>
      <c r="X318" t="inlineStr"/>
      <c r="Y318" t="inlineStr"/>
      <c r="Z318" t="inlineStr">
        <is>
          <t>low</t>
        </is>
      </c>
      <c r="AA318" t="inlineStr">
        <is>
          <t>C2:recent</t>
        </is>
      </c>
      <c r="AB318" t="inlineStr"/>
      <c r="AC318" t="n">
        <v>26.1924</v>
      </c>
    </row>
    <row r="319">
      <c r="A319" t="inlineStr">
        <is>
          <t>LM00318</t>
        </is>
      </c>
      <c r="B319" t="inlineStr">
        <is>
          <t>Going on a ride with Lefebvre: everyday contestation of platform mobilities in Mumbai</t>
        </is>
      </c>
      <c r="C319" t="n">
        <v>2022</v>
      </c>
      <c r="D319" t="inlineStr">
        <is>
          <t>Tobias Kuttler</t>
        </is>
      </c>
      <c r="E319" t="inlineStr">
        <is>
          <t>Applied Mobilities</t>
        </is>
      </c>
      <c r="F319" t="inlineStr">
        <is>
          <t>article</t>
        </is>
      </c>
      <c r="G319" t="inlineStr">
        <is>
          <t>10.1080/23800127.2022.2140991</t>
        </is>
      </c>
      <c r="H319" t="inlineStr">
        <is>
          <t>W4308145596</t>
        </is>
      </c>
      <c r="I319" t="inlineStr">
        <is>
          <t>https://doi.org/10.1080/23800127.2022.2140991</t>
        </is>
      </c>
      <c r="J319" t="inlineStr"/>
      <c r="K319" t="n">
        <v>2</v>
      </c>
      <c r="L319" t="inlineStr">
        <is>
          <t>C</t>
        </is>
      </c>
      <c r="M319" t="inlineStr">
        <is>
          <t>C2</t>
        </is>
      </c>
      <c r="N319" t="inlineStr"/>
      <c r="O319" t="inlineStr">
        <is>
          <t>Europe; Mumbai; North America</t>
        </is>
      </c>
      <c r="P319" t="inlineStr">
        <is>
          <t>Multi-region</t>
        </is>
      </c>
      <c r="Q319" t="inlineStr">
        <is>
          <t>Y</t>
        </is>
      </c>
      <c r="R319" t="inlineStr"/>
      <c r="S319" t="inlineStr"/>
      <c r="T319" t="inlineStr">
        <is>
          <t>conceptual</t>
        </is>
      </c>
      <c r="U319" t="inlineStr"/>
      <c r="V319" t="inlineStr"/>
      <c r="W319" t="inlineStr">
        <is>
          <t>auto: This research approach detects differential space in the sense of Henri Lefebvre, in the way drivers appropriate or circumvent platform mechanisms beyond notions of overt resistance, thereby seeking to carve out meanings and notions of the political in the urban everyday.</t>
        </is>
      </c>
      <c r="X319" t="inlineStr"/>
      <c r="Y319" t="inlineStr"/>
      <c r="Z319" t="inlineStr">
        <is>
          <t>high</t>
        </is>
      </c>
      <c r="AA319" t="inlineStr">
        <is>
          <t>C2:india</t>
        </is>
      </c>
      <c r="AB319" t="inlineStr"/>
      <c r="AC319" t="n">
        <v>0.7252</v>
      </c>
    </row>
    <row r="320">
      <c r="A320" t="inlineStr">
        <is>
          <t>LM00319</t>
        </is>
      </c>
      <c r="B320" t="inlineStr">
        <is>
          <t>Counter-mapping platformization. Rethinking the spatial differentiation of platform control, labor relations and restaurant virtualization in proprietary markets for food-delivery</t>
        </is>
      </c>
      <c r="C320" t="n">
        <v>2024</v>
      </c>
      <c r="D320" t="inlineStr">
        <is>
          <t>Yannick Ecker; Maximilian Lukowsky; Marius Wecker</t>
        </is>
      </c>
      <c r="E320" t="inlineStr">
        <is>
          <t>Digital Geography and Society</t>
        </is>
      </c>
      <c r="F320" t="inlineStr">
        <is>
          <t>article</t>
        </is>
      </c>
      <c r="G320" t="inlineStr">
        <is>
          <t>10.1016/j.diggeo.2024.100107</t>
        </is>
      </c>
      <c r="H320" t="inlineStr">
        <is>
          <t>W4405023965</t>
        </is>
      </c>
      <c r="I320" t="inlineStr">
        <is>
          <t>https://doi.org/10.1016/j.diggeo.2024.100107</t>
        </is>
      </c>
      <c r="J320" t="inlineStr">
        <is>
          <t>https://doi.org/10.1016/j.diggeo.2024.100107</t>
        </is>
      </c>
      <c r="K320" t="n">
        <v>2</v>
      </c>
      <c r="L320" t="inlineStr">
        <is>
          <t>C</t>
        </is>
      </c>
      <c r="M320" t="inlineStr">
        <is>
          <t>C2</t>
        </is>
      </c>
      <c r="N320" t="inlineStr"/>
      <c r="O320" t="inlineStr">
        <is>
          <t>Germany; Hamburg</t>
        </is>
      </c>
      <c r="P320" t="inlineStr">
        <is>
          <t>Global North</t>
        </is>
      </c>
      <c r="Q320" t="inlineStr"/>
      <c r="R320" t="inlineStr"/>
      <c r="S320" t="inlineStr"/>
      <c r="T320" t="inlineStr">
        <is>
          <t>qualitative</t>
        </is>
      </c>
      <c r="U320" t="inlineStr"/>
      <c r="V320" t="inlineStr">
        <is>
          <t>Y</t>
        </is>
      </c>
      <c r="W320" t="inlineStr">
        <is>
          <t>auto: By gathering and repurposing publicly-available platform data through counter-cartographies , we explore the spatial differentiation of platformized delivery logistics, labor relations and restaurant virtualization .</t>
        </is>
      </c>
      <c r="X320" t="inlineStr"/>
      <c r="Y320" t="inlineStr"/>
      <c r="Z320" t="inlineStr">
        <is>
          <t>high</t>
        </is>
      </c>
      <c r="AA320" t="inlineStr">
        <is>
          <t>C2:recent</t>
        </is>
      </c>
      <c r="AB320" t="inlineStr"/>
      <c r="AC320" t="n">
        <v>1.5324</v>
      </c>
    </row>
    <row r="321">
      <c r="A321" t="inlineStr">
        <is>
          <t>LM00320</t>
        </is>
      </c>
      <c r="B321" t="inlineStr">
        <is>
          <t>Informal service labour and digital platforms in India’s marriage economy</t>
        </is>
      </c>
      <c r="C321" t="n">
        <v>2026</v>
      </c>
      <c r="D321" t="inlineStr">
        <is>
          <t>Debalina Roy</t>
        </is>
      </c>
      <c r="E321" t="inlineStr">
        <is>
          <t>International Journal of Sociology and Social Policy</t>
        </is>
      </c>
      <c r="F321" t="inlineStr">
        <is>
          <t>article</t>
        </is>
      </c>
      <c r="G321" t="inlineStr">
        <is>
          <t>10.1108/ijssp-01-2025-0077</t>
        </is>
      </c>
      <c r="H321" t="inlineStr">
        <is>
          <t>W7128493135</t>
        </is>
      </c>
      <c r="I321" t="inlineStr">
        <is>
          <t>https://doi.org/10.1108/ijssp-01-2025-0077</t>
        </is>
      </c>
      <c r="J321" t="inlineStr"/>
      <c r="K321" t="n">
        <v>2</v>
      </c>
      <c r="L321" t="inlineStr">
        <is>
          <t>C</t>
        </is>
      </c>
      <c r="M321" t="inlineStr">
        <is>
          <t>C2</t>
        </is>
      </c>
      <c r="N321" t="inlineStr"/>
      <c r="O321" t="inlineStr">
        <is>
          <t>India; Kolkata; Poland</t>
        </is>
      </c>
      <c r="P321" t="inlineStr">
        <is>
          <t>Multi-region</t>
        </is>
      </c>
      <c r="Q321" t="inlineStr">
        <is>
          <t>Y</t>
        </is>
      </c>
      <c r="R321" t="inlineStr"/>
      <c r="S321" t="inlineStr"/>
      <c r="T321" t="inlineStr">
        <is>
          <t>mixed</t>
        </is>
      </c>
      <c r="U321" t="inlineStr"/>
      <c r="V321" t="inlineStr">
        <is>
          <t>Y</t>
        </is>
      </c>
      <c r="W321" t="inlineStr">
        <is>
          <t>auto: Purpose This article examines how digital platforms are reshaping informal service labour within India’s expanding marriage economy.</t>
        </is>
      </c>
      <c r="X321" t="inlineStr">
        <is>
          <t>auto: Research limitations/implications This article primarily draws on digital ethnography conducted in and around Kolkata, which limits the generalisability of its findings across diverse regional contexts in India. | The study also calls for targeted support structures – such as micro-credit, cooperative networks and social security – for informal service providers navigating aspirational yet precarious markets like the marriage economy in post-reform India.</t>
        </is>
      </c>
      <c r="Y321" t="inlineStr"/>
      <c r="Z321" t="inlineStr">
        <is>
          <t>high</t>
        </is>
      </c>
      <c r="AA321" t="inlineStr">
        <is>
          <t>C2:india</t>
        </is>
      </c>
      <c r="AB321" t="inlineStr"/>
      <c r="AC321" t="n">
        <v>28.1578</v>
      </c>
    </row>
    <row r="322">
      <c r="A322" t="inlineStr">
        <is>
          <t>LM00321</t>
        </is>
      </c>
      <c r="B322" t="inlineStr">
        <is>
          <t>Digital Tools for Low-Income Housing in Indian Cities</t>
        </is>
      </c>
      <c r="C322" t="n">
        <v>2017</v>
      </c>
      <c r="D322" t="inlineStr">
        <is>
          <t>Rakhi Mehra; Maria Angela Ferrario; Swati Janu</t>
        </is>
      </c>
      <c r="E322" t="inlineStr">
        <is>
          <t>DOAJ (DOAJ: Directory of Open Access Journals)</t>
        </is>
      </c>
      <c r="F322" t="inlineStr">
        <is>
          <t>article</t>
        </is>
      </c>
      <c r="G322" t="inlineStr"/>
      <c r="H322" t="inlineStr">
        <is>
          <t>W2785383861</t>
        </is>
      </c>
      <c r="I322" t="inlineStr">
        <is>
          <t>https://doaj.org/article/4d11db9d5dfb4b78bce8b158fe5cf053</t>
        </is>
      </c>
      <c r="J322" t="inlineStr">
        <is>
          <t>https://doaj.org/article/4d11db9d5dfb4b78bce8b158fe5cf053</t>
        </is>
      </c>
      <c r="K322" t="n">
        <v>2</v>
      </c>
      <c r="L322" t="inlineStr">
        <is>
          <t>C</t>
        </is>
      </c>
      <c r="M322" t="inlineStr">
        <is>
          <t>C2</t>
        </is>
      </c>
      <c r="N322" t="inlineStr"/>
      <c r="O322" t="inlineStr">
        <is>
          <t>Delhi; India</t>
        </is>
      </c>
      <c r="P322" t="inlineStr">
        <is>
          <t>South Asia</t>
        </is>
      </c>
      <c r="Q322" t="inlineStr">
        <is>
          <t>Y</t>
        </is>
      </c>
      <c r="R322" t="inlineStr">
        <is>
          <t>Y</t>
        </is>
      </c>
      <c r="S322" t="inlineStr"/>
      <c r="T322" t="inlineStr">
        <is>
          <t>unclear</t>
        </is>
      </c>
      <c r="U322" t="inlineStr"/>
      <c r="V322" t="inlineStr"/>
      <c r="W322" t="inlineStr">
        <is>
          <t>auto: Through the ongoing work by the team at mHS CITY LAB, a social enterprise based in Delhi, the article looks at the possibilities offered by digital platforms across urban centres of global South in enabling lower income communities to self-build safer and better houses.</t>
        </is>
      </c>
      <c r="X322" t="inlineStr"/>
      <c r="Y322" t="inlineStr"/>
      <c r="Z322" t="inlineStr">
        <is>
          <t>medium</t>
        </is>
      </c>
      <c r="AA322" t="inlineStr">
        <is>
          <t>C2:india</t>
        </is>
      </c>
      <c r="AB322" t="inlineStr"/>
      <c r="AC322" t="n">
        <v>0</v>
      </c>
    </row>
    <row r="323">
      <c r="A323" t="inlineStr">
        <is>
          <t>LM00322</t>
        </is>
      </c>
      <c r="B323" t="inlineStr">
        <is>
          <t>PLATFORMISATION OF RIDE HAILING, FOOD DELIVERY AND DOMESTIC WORK SERVICES IN URBAN INDIA</t>
        </is>
      </c>
      <c r="C323" t="n">
        <v>2021</v>
      </c>
      <c r="D323" t="inlineStr">
        <is>
          <t>Simiran Lalvani; Sarah Zia; Anushree Gupta; Aayush Rathi</t>
        </is>
      </c>
      <c r="E323" t="inlineStr">
        <is>
          <t>AoIR Selected Papers of Internet Research</t>
        </is>
      </c>
      <c r="F323" t="inlineStr">
        <is>
          <t>article</t>
        </is>
      </c>
      <c r="G323" t="inlineStr">
        <is>
          <t>10.5210/spir.v2021i0.12129</t>
        </is>
      </c>
      <c r="H323" t="inlineStr">
        <is>
          <t>W3199210739</t>
        </is>
      </c>
      <c r="I323" t="inlineStr">
        <is>
          <t>https://doi.org/10.5210/spir.v2021i0.12129</t>
        </is>
      </c>
      <c r="J323" t="inlineStr">
        <is>
          <t>https://journals.uic.edu/ojs/index.php/spir/article/download/12129/10235</t>
        </is>
      </c>
      <c r="K323" t="n">
        <v>1</v>
      </c>
      <c r="L323" t="inlineStr">
        <is>
          <t>C</t>
        </is>
      </c>
      <c r="M323" t="inlineStr">
        <is>
          <t>C2</t>
        </is>
      </c>
      <c r="N323" t="inlineStr"/>
      <c r="O323" t="inlineStr">
        <is>
          <t>Bangalore; Delhi; India; Mumbai</t>
        </is>
      </c>
      <c r="P323" t="inlineStr">
        <is>
          <t>South Asia</t>
        </is>
      </c>
      <c r="Q323" t="inlineStr">
        <is>
          <t>Y</t>
        </is>
      </c>
      <c r="R323" t="inlineStr">
        <is>
          <t>Y</t>
        </is>
      </c>
      <c r="S323" t="inlineStr"/>
      <c r="T323" t="inlineStr">
        <is>
          <t>qualitative</t>
        </is>
      </c>
      <c r="U323" t="inlineStr"/>
      <c r="V323" t="inlineStr"/>
      <c r="W323" t="inlineStr">
        <is>
          <t>auto: Working in the digital platform economies has typically been characterised by a corporatised and media fuelled narrative of independence—as a route to financial independence, freedom to determine work schedules, and the positioning of workers as ‘independent contractors’.</t>
        </is>
      </c>
      <c r="X323" t="inlineStr"/>
      <c r="Y323" t="inlineStr"/>
      <c r="Z323" t="inlineStr">
        <is>
          <t>high</t>
        </is>
      </c>
      <c r="AA323" t="inlineStr">
        <is>
          <t>C2:india</t>
        </is>
      </c>
      <c r="AB323" t="inlineStr"/>
      <c r="AC323" t="n">
        <v>0.3472</v>
      </c>
    </row>
    <row r="324">
      <c r="A324" t="inlineStr">
        <is>
          <t>LM00323</t>
        </is>
      </c>
      <c r="B324" t="inlineStr">
        <is>
          <t>Ciudades, comunicación digital y pospandemia: de las smart cities al urbanismo de plataformas</t>
        </is>
      </c>
      <c r="C324" t="n">
        <v>2022</v>
      </c>
      <c r="D324" t="inlineStr">
        <is>
          <t>Luis Sebastián Ramón Rossi</t>
        </is>
      </c>
      <c r="E324" t="inlineStr">
        <is>
          <t>Universitas</t>
        </is>
      </c>
      <c r="F324" t="inlineStr">
        <is>
          <t>article</t>
        </is>
      </c>
      <c r="G324" t="inlineStr">
        <is>
          <t>10.17163/uni.n37.2022.05</t>
        </is>
      </c>
      <c r="H324" t="inlineStr">
        <is>
          <t>W4292840629</t>
        </is>
      </c>
      <c r="I324" t="inlineStr">
        <is>
          <t>https://doi.org/10.17163/uni.n37.2022.05</t>
        </is>
      </c>
      <c r="J324" t="inlineStr">
        <is>
          <t>https://universitas.ups.edu.ec/index.php/universitas/article/download/6344/5866</t>
        </is>
      </c>
      <c r="K324" t="n">
        <v>1</v>
      </c>
      <c r="L324" t="inlineStr">
        <is>
          <t>C</t>
        </is>
      </c>
      <c r="M324" t="inlineStr">
        <is>
          <t>C2</t>
        </is>
      </c>
      <c r="N324" t="inlineStr"/>
      <c r="O324" t="inlineStr"/>
      <c r="P324" t="inlineStr">
        <is>
          <t>Not place-specific</t>
        </is>
      </c>
      <c r="Q324" t="inlineStr"/>
      <c r="R324" t="inlineStr"/>
      <c r="S324" t="inlineStr"/>
      <c r="T324" t="inlineStr">
        <is>
          <t>conceptual</t>
        </is>
      </c>
      <c r="U324" t="inlineStr"/>
      <c r="V324" t="inlineStr"/>
      <c r="W324" t="inlineStr">
        <is>
          <t>auto: The paper will focus on the old connection between cities and digital communication in light of transformations speeded up both in the social, economic and health emergency of Covid-19 and in the post-pandemic.</t>
        </is>
      </c>
      <c r="X324" t="inlineStr"/>
      <c r="Y324" t="inlineStr"/>
      <c r="Z324" t="inlineStr">
        <is>
          <t>medium</t>
        </is>
      </c>
      <c r="AA324" t="inlineStr">
        <is>
          <t>C2:recent</t>
        </is>
      </c>
      <c r="AB324" t="inlineStr"/>
      <c r="AC324" t="n">
        <v>0.0994</v>
      </c>
    </row>
    <row r="325">
      <c r="A325" t="inlineStr">
        <is>
          <t>LM00324</t>
        </is>
      </c>
      <c r="B325" t="inlineStr">
        <is>
          <t>Platform Urbanism and “Splintering Amenitization”: An Analysis of Canadian Cities</t>
        </is>
      </c>
      <c r="C325" t="n">
        <v>2024</v>
      </c>
      <c r="D325" t="inlineStr">
        <is>
          <t>Anirudh Govind; Agnieszka Leszczynski; Ate Poorthuis</t>
        </is>
      </c>
      <c r="E325" t="inlineStr">
        <is>
          <t>Annals of the American Association of Geographers</t>
        </is>
      </c>
      <c r="F325" t="inlineStr">
        <is>
          <t>article</t>
        </is>
      </c>
      <c r="G325" t="inlineStr">
        <is>
          <t>10.1080/24694452.2024.2322474</t>
        </is>
      </c>
      <c r="H325" t="inlineStr">
        <is>
          <t>W4393871037</t>
        </is>
      </c>
      <c r="I325" t="inlineStr">
        <is>
          <t>https://doi.org/10.1080/24694452.2024.2322474</t>
        </is>
      </c>
      <c r="J325" t="inlineStr">
        <is>
          <t>https://tspace.library.utoronto.ca/bitstream/1807/94383/1/227%20Walks%20Income%20Inequality%20Canada%20Aug%202013.pdf</t>
        </is>
      </c>
      <c r="K325" t="n">
        <v>1</v>
      </c>
      <c r="L325" t="inlineStr">
        <is>
          <t>C</t>
        </is>
      </c>
      <c r="M325" t="inlineStr">
        <is>
          <t>C2</t>
        </is>
      </c>
      <c r="N325" t="inlineStr"/>
      <c r="O325" t="inlineStr">
        <is>
          <t>Canada; Montreal; Toronto; Vancouver</t>
        </is>
      </c>
      <c r="P325" t="inlineStr">
        <is>
          <t>Global North</t>
        </is>
      </c>
      <c r="Q325" t="inlineStr"/>
      <c r="R325" t="inlineStr"/>
      <c r="S325" t="inlineStr"/>
      <c r="T325" t="inlineStr">
        <is>
          <t>quantitative</t>
        </is>
      </c>
      <c r="U325" t="inlineStr"/>
      <c r="V325" t="inlineStr"/>
      <c r="W325" t="inlineStr">
        <is>
          <t>auto: This article engages with the spatialities of platform urbanism by foregrounding where digital platforms are located in cities.</t>
        </is>
      </c>
      <c r="X325" t="inlineStr"/>
      <c r="Y325" t="inlineStr"/>
      <c r="Z325" t="inlineStr">
        <is>
          <t>high</t>
        </is>
      </c>
      <c r="AA325" t="inlineStr">
        <is>
          <t>C2:recent</t>
        </is>
      </c>
      <c r="AB325" t="inlineStr"/>
      <c r="AC325" t="n">
        <v>1.0898</v>
      </c>
    </row>
    <row r="326">
      <c r="A326" t="inlineStr">
        <is>
          <t>LM00325</t>
        </is>
      </c>
      <c r="B326" t="inlineStr">
        <is>
          <t>Unequal taxi geographies: Antagonisms in platform-driven urban restructuring in Delhi, India</t>
        </is>
      </c>
      <c r="C326" t="n">
        <v>2025</v>
      </c>
      <c r="D326" t="inlineStr">
        <is>
          <t>Anurag Mazumdar</t>
        </is>
      </c>
      <c r="E326" t="inlineStr">
        <is>
          <t>Environment and Planning D Society and Space</t>
        </is>
      </c>
      <c r="F326" t="inlineStr">
        <is>
          <t>article</t>
        </is>
      </c>
      <c r="G326" t="inlineStr">
        <is>
          <t>10.1177/02637758251384794</t>
        </is>
      </c>
      <c r="H326" t="inlineStr">
        <is>
          <t>W4415064905</t>
        </is>
      </c>
      <c r="I326" t="inlineStr">
        <is>
          <t>https://doi.org/10.1177/02637758251384794</t>
        </is>
      </c>
      <c r="J326" t="inlineStr">
        <is>
          <t>https://journals.sagepub.com/doi/pdf/10.1177/02637758251384794?download=true</t>
        </is>
      </c>
      <c r="K326" t="n">
        <v>1</v>
      </c>
      <c r="L326" t="inlineStr">
        <is>
          <t>C</t>
        </is>
      </c>
      <c r="M326" t="inlineStr">
        <is>
          <t>C2</t>
        </is>
      </c>
      <c r="N326" t="inlineStr"/>
      <c r="O326" t="inlineStr">
        <is>
          <t>Delhi; India</t>
        </is>
      </c>
      <c r="P326" t="inlineStr">
        <is>
          <t>South Asia</t>
        </is>
      </c>
      <c r="Q326" t="inlineStr">
        <is>
          <t>Y</t>
        </is>
      </c>
      <c r="R326" t="inlineStr">
        <is>
          <t>Y</t>
        </is>
      </c>
      <c r="S326" t="inlineStr"/>
      <c r="T326" t="inlineStr">
        <is>
          <t>qualitative</t>
        </is>
      </c>
      <c r="U326" t="inlineStr"/>
      <c r="V326" t="inlineStr">
        <is>
          <t>Y</t>
        </is>
      </c>
      <c r="W326" t="inlineStr">
        <is>
          <t>auto: This article considers how the relationship of everyday spatial practices of digital on-demand, ride-hailing taxi drivers and social imaginaries of urban restructuring remain imbricated in class and religious antagonisms.</t>
        </is>
      </c>
      <c r="X326" t="inlineStr"/>
      <c r="Y326" t="inlineStr"/>
      <c r="Z326" t="inlineStr">
        <is>
          <t>high</t>
        </is>
      </c>
      <c r="AA326" t="inlineStr">
        <is>
          <t>C2:india</t>
        </is>
      </c>
      <c r="AB326" t="inlineStr"/>
      <c r="AC326" t="n">
        <v>1.9331</v>
      </c>
    </row>
    <row r="327">
      <c r="A327" t="inlineStr">
        <is>
          <t>LM00326</t>
        </is>
      </c>
      <c r="B327" t="inlineStr">
        <is>
          <t>Platformization in the southern city: Entrepreneurial volunteering and the suturing of collective life in Hyderabad</t>
        </is>
      </c>
      <c r="C327" t="n">
        <v>2025</v>
      </c>
      <c r="D327" t="inlineStr">
        <is>
          <t>Anushree Gupta; Aalok Khandekar</t>
        </is>
      </c>
      <c r="E327" t="inlineStr">
        <is>
          <t>Environment and Planning D Society and Space</t>
        </is>
      </c>
      <c r="F327" t="inlineStr">
        <is>
          <t>article</t>
        </is>
      </c>
      <c r="G327" t="inlineStr">
        <is>
          <t>10.1177/02637758251389048</t>
        </is>
      </c>
      <c r="H327" t="inlineStr">
        <is>
          <t>W4415622542</t>
        </is>
      </c>
      <c r="I327" t="inlineStr">
        <is>
          <t>https://doi.org/10.1177/02637758251389048</t>
        </is>
      </c>
      <c r="J327" t="inlineStr"/>
      <c r="K327" t="n">
        <v>1</v>
      </c>
      <c r="L327" t="inlineStr">
        <is>
          <t>C</t>
        </is>
      </c>
      <c r="M327" t="inlineStr">
        <is>
          <t>C2</t>
        </is>
      </c>
      <c r="N327" t="inlineStr"/>
      <c r="O327" t="inlineStr">
        <is>
          <t>Hyderabad; India</t>
        </is>
      </c>
      <c r="P327" t="inlineStr">
        <is>
          <t>South Asia</t>
        </is>
      </c>
      <c r="Q327" t="inlineStr">
        <is>
          <t>Y</t>
        </is>
      </c>
      <c r="R327" t="inlineStr"/>
      <c r="S327" t="inlineStr"/>
      <c r="T327" t="inlineStr">
        <is>
          <t>qualitative</t>
        </is>
      </c>
      <c r="U327" t="inlineStr"/>
      <c r="V327" t="inlineStr"/>
      <c r="W327" t="inlineStr">
        <is>
          <t>auto: This article focuses on the online networked spaces that emerged in response to the COVID-19 crisis in Hyderabad, India.</t>
        </is>
      </c>
      <c r="X327" t="inlineStr"/>
      <c r="Y327" t="inlineStr"/>
      <c r="Z327" t="inlineStr">
        <is>
          <t>high</t>
        </is>
      </c>
      <c r="AA327" t="inlineStr">
        <is>
          <t>C2:india; C2:recent</t>
        </is>
      </c>
      <c r="AB327" t="inlineStr"/>
      <c r="AC327" t="n">
        <v>0.4663</v>
      </c>
    </row>
    <row r="328">
      <c r="A328" t="inlineStr">
        <is>
          <t>LM00327</t>
        </is>
      </c>
      <c r="B328" t="inlineStr">
        <is>
          <t>Labor Productivity and Wage Inequality in the Gig Economy: Evidence from Bangladesh and Canada</t>
        </is>
      </c>
      <c r="C328" t="n">
        <v>2025</v>
      </c>
      <c r="D328" t="inlineStr"/>
      <c r="E328" t="inlineStr">
        <is>
          <t>Canadian Journal of Business and Information Studies</t>
        </is>
      </c>
      <c r="F328" t="inlineStr">
        <is>
          <t>article</t>
        </is>
      </c>
      <c r="G328" t="inlineStr">
        <is>
          <t>10.34104/cjbis.025.05460560</t>
        </is>
      </c>
      <c r="H328" t="inlineStr">
        <is>
          <t>W4417043517</t>
        </is>
      </c>
      <c r="I328" t="inlineStr">
        <is>
          <t>https://doi.org/10.34104/cjbis.025.05460560</t>
        </is>
      </c>
      <c r="J328" t="inlineStr">
        <is>
          <t>https://doi.org/10.34104/cjbis.025.05460560</t>
        </is>
      </c>
      <c r="K328" t="n">
        <v>1</v>
      </c>
      <c r="L328" t="inlineStr">
        <is>
          <t>C</t>
        </is>
      </c>
      <c r="M328" t="inlineStr">
        <is>
          <t>C2</t>
        </is>
      </c>
      <c r="N328" t="inlineStr"/>
      <c r="O328" t="inlineStr">
        <is>
          <t>Bangladesh; Canada</t>
        </is>
      </c>
      <c r="P328" t="inlineStr">
        <is>
          <t>Multi-region</t>
        </is>
      </c>
      <c r="Q328" t="inlineStr"/>
      <c r="R328" t="inlineStr"/>
      <c r="S328" t="inlineStr"/>
      <c r="T328" t="inlineStr">
        <is>
          <t>quantitative</t>
        </is>
      </c>
      <c r="U328" t="inlineStr"/>
      <c r="V328" t="inlineStr">
        <is>
          <t>Y</t>
        </is>
      </c>
      <c r="W328" t="inlineStr">
        <is>
          <t>auto: We investigate the pattern of labor productivity and wage inequality in two gig economy models: Bangladesh and Canada.</t>
        </is>
      </c>
      <c r="X328" t="inlineStr"/>
      <c r="Y328" t="inlineStr"/>
      <c r="Z328" t="inlineStr">
        <is>
          <t>high</t>
        </is>
      </c>
      <c r="AA328" t="inlineStr">
        <is>
          <t>C2:india</t>
        </is>
      </c>
      <c r="AB328" t="inlineStr"/>
      <c r="AC328" t="n">
        <v>1.9331</v>
      </c>
    </row>
    <row r="329">
      <c r="A329" t="inlineStr">
        <is>
          <t>LM00328</t>
        </is>
      </c>
      <c r="B329" t="inlineStr">
        <is>
          <t>Household platforms as transactional infrastructures: the case of Urban Company</t>
        </is>
      </c>
      <c r="C329" t="n">
        <v>2026</v>
      </c>
      <c r="D329" t="inlineStr">
        <is>
          <t>Adrian Mabbott Athique; Akshaya Kumar</t>
        </is>
      </c>
      <c r="E329" t="inlineStr">
        <is>
          <t>Journal of Cultural Economy</t>
        </is>
      </c>
      <c r="F329" t="inlineStr">
        <is>
          <t>article</t>
        </is>
      </c>
      <c r="G329" t="inlineStr">
        <is>
          <t>10.1080/17530350.2026.2613813</t>
        </is>
      </c>
      <c r="H329" t="inlineStr">
        <is>
          <t>W7140141488</t>
        </is>
      </c>
      <c r="I329" t="inlineStr">
        <is>
          <t>https://doi.org/10.1080/17530350.2026.2613813</t>
        </is>
      </c>
      <c r="J329" t="inlineStr"/>
      <c r="K329" t="n">
        <v>1</v>
      </c>
      <c r="L329" t="inlineStr">
        <is>
          <t>C</t>
        </is>
      </c>
      <c r="M329" t="inlineStr">
        <is>
          <t>C2</t>
        </is>
      </c>
      <c r="N329" t="inlineStr"/>
      <c r="O329" t="inlineStr">
        <is>
          <t>India</t>
        </is>
      </c>
      <c r="P329" t="inlineStr">
        <is>
          <t>South Asia</t>
        </is>
      </c>
      <c r="Q329" t="inlineStr">
        <is>
          <t>Y</t>
        </is>
      </c>
      <c r="R329" t="inlineStr"/>
      <c r="S329" t="inlineStr"/>
      <c r="T329" t="inlineStr">
        <is>
          <t>qualitative</t>
        </is>
      </c>
      <c r="U329" t="inlineStr"/>
      <c r="V329" t="inlineStr">
        <is>
          <t>Y</t>
        </is>
      </c>
      <c r="W329" t="inlineStr">
        <is>
          <t>auto: In this article, we interrogate the case of Urban Company, a household platform offering domestic services in urban India.</t>
        </is>
      </c>
      <c r="X329" t="inlineStr"/>
      <c r="Y329" t="inlineStr"/>
      <c r="Z329" t="inlineStr">
        <is>
          <t>medium</t>
        </is>
      </c>
      <c r="AA329" t="inlineStr">
        <is>
          <t>C2:india</t>
        </is>
      </c>
      <c r="AB329" t="inlineStr"/>
      <c r="AC329" t="n">
        <v>14.0789</v>
      </c>
    </row>
    <row r="330">
      <c r="A330" t="inlineStr">
        <is>
          <t>LM00329</t>
        </is>
      </c>
      <c r="B330" t="inlineStr">
        <is>
          <t>Platform Urbanization: How Digital Platforms (Avito, Yandex, Wildberries) Restructure the Space of Urban Agglomerations</t>
        </is>
      </c>
      <c r="C330" t="n">
        <v>2026</v>
      </c>
      <c r="D330" t="inlineStr">
        <is>
          <t>D. D. Khamitov</t>
        </is>
      </c>
      <c r="E330" t="inlineStr">
        <is>
          <t>THE KAZAN SOCIALLY-HUMANITARIAN BULLETIN</t>
        </is>
      </c>
      <c r="F330" t="inlineStr">
        <is>
          <t>article</t>
        </is>
      </c>
      <c r="G330" t="inlineStr">
        <is>
          <t>10.26907/2079-5912.2026.2.36-46</t>
        </is>
      </c>
      <c r="H330" t="inlineStr">
        <is>
          <t>W7168355438</t>
        </is>
      </c>
      <c r="I330" t="inlineStr">
        <is>
          <t>https://doi.org/10.26907/2079-5912.2026.2.36-46</t>
        </is>
      </c>
      <c r="J330" t="inlineStr">
        <is>
          <t>https://kasogve.elpub.ru/jour/article/download/567/289</t>
        </is>
      </c>
      <c r="K330" t="n">
        <v>1</v>
      </c>
      <c r="L330" t="inlineStr">
        <is>
          <t>C</t>
        </is>
      </c>
      <c r="M330" t="inlineStr">
        <is>
          <t>C2</t>
        </is>
      </c>
      <c r="N330" t="inlineStr"/>
      <c r="O330" t="inlineStr">
        <is>
          <t>Russia</t>
        </is>
      </c>
      <c r="P330" t="inlineStr">
        <is>
          <t>Global North</t>
        </is>
      </c>
      <c r="Q330" t="inlineStr"/>
      <c r="R330" t="inlineStr"/>
      <c r="S330" t="inlineStr"/>
      <c r="T330" t="inlineStr">
        <is>
          <t>quantitative</t>
        </is>
      </c>
      <c r="U330" t="inlineStr"/>
      <c r="V330" t="inlineStr">
        <is>
          <t>Y</t>
        </is>
      </c>
      <c r="W330" t="inlineStr">
        <is>
          <t>auto: The purpose of the study is to identify the mechanisms through which Avito, Yandex, and Wildberries influence the spatial structure of agglomerations.</t>
        </is>
      </c>
      <c r="X330" t="inlineStr"/>
      <c r="Y330" t="inlineStr"/>
      <c r="Z330" t="inlineStr">
        <is>
          <t>high</t>
        </is>
      </c>
      <c r="AA330" t="inlineStr">
        <is>
          <t>C2:recent</t>
        </is>
      </c>
      <c r="AB330" t="inlineStr"/>
      <c r="AC330" t="n">
        <v>14.0789</v>
      </c>
    </row>
    <row r="331">
      <c r="A331" t="inlineStr">
        <is>
          <t>LM00330</t>
        </is>
      </c>
      <c r="B331" t="inlineStr">
        <is>
          <t>Platform Politics and Silicon Savannahs: The rise of on-demand logistics and mobility in Nairobi and Kigali</t>
        </is>
      </c>
      <c r="C331" t="n">
        <v>2022</v>
      </c>
      <c r="D331" t="inlineStr">
        <is>
          <t>Rike Sitas; Liza Rose Cirolia; Andrea Pollio; Alexis Gatoni Sebarenzi; Price Guma; Anirudh Rajashekar</t>
        </is>
      </c>
      <c r="E331" t="inlineStr">
        <is>
          <t>PORTO@Iris</t>
        </is>
      </c>
      <c r="F331" t="inlineStr">
        <is>
          <t>other</t>
        </is>
      </c>
      <c r="G331" t="inlineStr">
        <is>
          <t>10.25375/uct.19582621</t>
        </is>
      </c>
      <c r="H331" t="inlineStr">
        <is>
          <t>W7216113425</t>
        </is>
      </c>
      <c r="I331" t="inlineStr">
        <is>
          <t>https://doi.org/10.25375/uct.19582621</t>
        </is>
      </c>
      <c r="J331" t="inlineStr">
        <is>
          <t>https://africancentreforcities.net/wp-content/uploads/2022/05/Platform-Politics-and-Silicon-Savannahs_web.pdf</t>
        </is>
      </c>
      <c r="K331" t="n">
        <v>1</v>
      </c>
      <c r="L331" t="inlineStr">
        <is>
          <t>C</t>
        </is>
      </c>
      <c r="M331" t="inlineStr">
        <is>
          <t>C2</t>
        </is>
      </c>
      <c r="N331" t="inlineStr"/>
      <c r="O331" t="inlineStr">
        <is>
          <t>Africa; African; Kenya; Kigali; Nairobi; Rwanda</t>
        </is>
      </c>
      <c r="P331" t="inlineStr">
        <is>
          <t>Africa</t>
        </is>
      </c>
      <c r="Q331" t="inlineStr"/>
      <c r="R331" t="inlineStr"/>
      <c r="S331" t="inlineStr"/>
      <c r="T331" t="inlineStr">
        <is>
          <t>mixed</t>
        </is>
      </c>
      <c r="U331" t="inlineStr"/>
      <c r="V331" t="inlineStr"/>
      <c r="W331" t="inlineStr">
        <is>
          <t>auto: In response, the overarching objective of this research was to understand how urban mobility – particularly the use of motorcycles – is being reconfigured by the introduction of platform-based systems for two-wheel paratransit sectors in African cities.</t>
        </is>
      </c>
      <c r="X331" t="inlineStr">
        <is>
          <t>auto: This gap, in part, stems from the difficulty of studying these rapidly evolving systems and practices. | These cases provide valuable insights into the rise of the platformisation of motorcycle taxis in African cities, as well as the lack of coherent regulation at this important urban interface.</t>
        </is>
      </c>
      <c r="Y331" t="inlineStr"/>
      <c r="Z331" t="inlineStr">
        <is>
          <t>high</t>
        </is>
      </c>
      <c r="AA331" t="inlineStr">
        <is>
          <t>C2:recent</t>
        </is>
      </c>
      <c r="AB331" t="inlineStr"/>
    </row>
    <row r="332">
      <c r="A332" t="inlineStr">
        <is>
          <t>LM00331</t>
        </is>
      </c>
      <c r="B332" t="inlineStr">
        <is>
          <t>Conclusion: On Understanding Situated Platform Urbanism</t>
        </is>
      </c>
      <c r="C332" t="n">
        <v>2023</v>
      </c>
      <c r="D332" t="inlineStr">
        <is>
          <t>Nancy Odendaal</t>
        </is>
      </c>
      <c r="E332" t="inlineStr">
        <is>
          <t>Policy Press eBooks</t>
        </is>
      </c>
      <c r="F332" t="inlineStr">
        <is>
          <t>book-chapter</t>
        </is>
      </c>
      <c r="G332" t="inlineStr">
        <is>
          <t>10.1332/policypress/9781529218565.003.0007</t>
        </is>
      </c>
      <c r="H332" t="inlineStr">
        <is>
          <t>W4386924388</t>
        </is>
      </c>
      <c r="I332" t="inlineStr">
        <is>
          <t>https://doi.org/10.1332/policypress/9781529218565.003.0007</t>
        </is>
      </c>
      <c r="J332" t="inlineStr"/>
      <c r="K332" t="n">
        <v>0</v>
      </c>
      <c r="L332" t="inlineStr">
        <is>
          <t>C</t>
        </is>
      </c>
      <c r="M332" t="inlineStr">
        <is>
          <t>C2</t>
        </is>
      </c>
      <c r="N332" t="inlineStr"/>
      <c r="O332" t="inlineStr">
        <is>
          <t>Africa; African</t>
        </is>
      </c>
      <c r="P332" t="inlineStr">
        <is>
          <t>Africa</t>
        </is>
      </c>
      <c r="Q332" t="inlineStr"/>
      <c r="R332" t="inlineStr"/>
      <c r="S332" t="inlineStr"/>
      <c r="T332" t="inlineStr">
        <is>
          <t>conceptual</t>
        </is>
      </c>
      <c r="U332" t="inlineStr"/>
      <c r="V332" t="inlineStr"/>
      <c r="W332" t="inlineStr">
        <is>
          <t>auto: This conclusion answers the main question posed by the book: if corporate smart promises are inadequate in responding meaningfully to urban challenges in Africa, how do disruptive practices that use digital platforms do so more effectively?</t>
        </is>
      </c>
      <c r="X332" t="inlineStr"/>
      <c r="Y332" t="inlineStr"/>
      <c r="Z332" t="inlineStr">
        <is>
          <t>high</t>
        </is>
      </c>
      <c r="AA332" t="inlineStr">
        <is>
          <t>C2:recent</t>
        </is>
      </c>
      <c r="AB332" t="inlineStr"/>
      <c r="AC332" t="n">
        <v>0</v>
      </c>
    </row>
    <row r="333">
      <c r="A333" t="inlineStr">
        <is>
          <t>LM00332</t>
        </is>
      </c>
      <c r="B333" t="inlineStr">
        <is>
          <t>The Rise of Digital Labor Platforms in India: Gig Economy, Labor Rights, and Economic Inequality</t>
        </is>
      </c>
      <c r="C333" t="n">
        <v>2024</v>
      </c>
      <c r="D333" t="inlineStr">
        <is>
          <t>Shunsuke Sato</t>
        </is>
      </c>
      <c r="E333" t="inlineStr"/>
      <c r="F333" t="inlineStr">
        <is>
          <t>preprint</t>
        </is>
      </c>
      <c r="G333" t="inlineStr">
        <is>
          <t>10.22541/au.172979358.85441650/v1</t>
        </is>
      </c>
      <c r="H333" t="inlineStr">
        <is>
          <t>W4403718723</t>
        </is>
      </c>
      <c r="I333" t="inlineStr">
        <is>
          <t>https://doi.org/10.22541/au.172979358.85441650/v1</t>
        </is>
      </c>
      <c r="J333" t="inlineStr">
        <is>
          <t>https://www.authorea.com/doi/pdf/10.22541/au.172979358.85441650</t>
        </is>
      </c>
      <c r="K333" t="n">
        <v>0</v>
      </c>
      <c r="L333" t="inlineStr">
        <is>
          <t>C</t>
        </is>
      </c>
      <c r="M333" t="inlineStr">
        <is>
          <t>C2</t>
        </is>
      </c>
      <c r="N333" t="inlineStr"/>
      <c r="O333" t="inlineStr">
        <is>
          <t>Boston; India</t>
        </is>
      </c>
      <c r="P333" t="inlineStr">
        <is>
          <t>Multi-region</t>
        </is>
      </c>
      <c r="Q333" t="inlineStr">
        <is>
          <t>Y</t>
        </is>
      </c>
      <c r="R333" t="inlineStr"/>
      <c r="S333" t="inlineStr"/>
      <c r="T333" t="inlineStr">
        <is>
          <t>quantitative</t>
        </is>
      </c>
      <c r="U333" t="inlineStr"/>
      <c r="V333" t="inlineStr"/>
      <c r="W333" t="inlineStr">
        <is>
          <t>auto: This paper examines the rapid growth of digital labor platforms in India and its implications for labor rights and economic inequality.</t>
        </is>
      </c>
      <c r="X333" t="inlineStr">
        <is>
          <t>auto: It examines the structure of the gig economy, the challenges facing platform workers, and the regulatory framework (or lack thereof) that governs platform labor. | However, the lack of job security and formal contracts presents significant challenges for workers, many of whom face long hours, low pay, and limited recourse in cases of unfair treatment or dismissal.Demographics of Gig WorkersThe majority of gig workers in India are young men, particularly from urban and semi-urban areas, with l…</t>
        </is>
      </c>
      <c r="Y333" t="inlineStr"/>
      <c r="Z333" t="inlineStr">
        <is>
          <t>high</t>
        </is>
      </c>
      <c r="AA333" t="inlineStr">
        <is>
          <t>C2:india</t>
        </is>
      </c>
      <c r="AB333" t="inlineStr"/>
    </row>
    <row r="334">
      <c r="A334" t="inlineStr">
        <is>
          <t>LM00333</t>
        </is>
      </c>
      <c r="B334" t="inlineStr">
        <is>
          <t>Social Media and Youth Activism in South Asia: Examining the Role of Digital Platforms in Social Movements in Bangladesh and India</t>
        </is>
      </c>
      <c r="C334" t="n">
        <v>2024</v>
      </c>
      <c r="D334" t="inlineStr">
        <is>
          <t>Shunsuke Sato</t>
        </is>
      </c>
      <c r="E334" t="inlineStr"/>
      <c r="F334" t="inlineStr">
        <is>
          <t>preprint</t>
        </is>
      </c>
      <c r="G334" t="inlineStr">
        <is>
          <t>10.22541/au.173016226.67134443/v1</t>
        </is>
      </c>
      <c r="H334" t="inlineStr">
        <is>
          <t>W4403819665</t>
        </is>
      </c>
      <c r="I334" t="inlineStr">
        <is>
          <t>https://doi.org/10.22541/au.173016226.67134443/v1</t>
        </is>
      </c>
      <c r="J334" t="inlineStr">
        <is>
          <t>https://www.authorea.com/doi/pdf/10.22541/au.173016226.67134443</t>
        </is>
      </c>
      <c r="K334" t="n">
        <v>0</v>
      </c>
      <c r="L334" t="inlineStr">
        <is>
          <t>C</t>
        </is>
      </c>
      <c r="M334" t="inlineStr">
        <is>
          <t>C2</t>
        </is>
      </c>
      <c r="N334" t="inlineStr"/>
      <c r="O334" t="inlineStr">
        <is>
          <t>Bangladesh; India; South Asia; South Asian</t>
        </is>
      </c>
      <c r="P334" t="inlineStr">
        <is>
          <t>South Asia</t>
        </is>
      </c>
      <c r="Q334" t="inlineStr">
        <is>
          <t>Y</t>
        </is>
      </c>
      <c r="R334" t="inlineStr"/>
      <c r="S334" t="inlineStr"/>
      <c r="T334" t="inlineStr">
        <is>
          <t>qualitative</t>
        </is>
      </c>
      <c r="U334" t="inlineStr"/>
      <c r="V334" t="inlineStr"/>
      <c r="W334" t="inlineStr">
        <is>
          <t>auto: This paper explores the role of social media in facilitating youth activism and shaping social movements in South Asia, focusing on Bangladesh and India.</t>
        </is>
      </c>
      <c r="X334" t="inlineStr">
        <is>
          <t>auto: The findings suggest that, despite limitations, social media has become a crucial tool for youth-led movements in South Asia, enhancing visibility and engagement in social causes.IntroductionIn recent years, social media has emerged as a powerful tool for activism, particularly among youth in South Asia. | This environment of surveillance can discourage young people from openly participating in activism online, hindering the effectiveness of digital movements (Mukherjee, 2019).Digital Divide …</t>
        </is>
      </c>
      <c r="Y334" t="inlineStr"/>
      <c r="Z334" t="inlineStr">
        <is>
          <t>high</t>
        </is>
      </c>
      <c r="AA334" t="inlineStr">
        <is>
          <t>C2:india</t>
        </is>
      </c>
      <c r="AB334" t="inlineStr"/>
    </row>
    <row r="335">
      <c r="A335" t="inlineStr">
        <is>
          <t>LM00334</t>
        </is>
      </c>
      <c r="B335" t="inlineStr">
        <is>
          <t>UBER IN EXURBIA : Peripheral Platformization, Post‐Suburbanization and the Public–Private Ridehail Partnership in the Toronto City Region</t>
        </is>
      </c>
      <c r="C335" t="n">
        <v>2024</v>
      </c>
      <c r="D335" t="inlineStr">
        <is>
          <t>Fabian Namberger</t>
        </is>
      </c>
      <c r="E335" t="inlineStr">
        <is>
          <t>International Journal of Urban and Regional Research</t>
        </is>
      </c>
      <c r="F335" t="inlineStr">
        <is>
          <t>article</t>
        </is>
      </c>
      <c r="G335" t="inlineStr">
        <is>
          <t>10.1111/1468-2427.13278</t>
        </is>
      </c>
      <c r="H335" t="inlineStr">
        <is>
          <t>W4403946247</t>
        </is>
      </c>
      <c r="I335" t="inlineStr">
        <is>
          <t>https://doi.org/10.1111/1468-2427.13278</t>
        </is>
      </c>
      <c r="J335" t="inlineStr">
        <is>
          <t>https://onlinelibrary.wiley.com/doi/pdfdirect/10.1111/1468-2427.13278</t>
        </is>
      </c>
      <c r="K335" t="n">
        <v>0</v>
      </c>
      <c r="L335" t="inlineStr">
        <is>
          <t>C</t>
        </is>
      </c>
      <c r="M335" t="inlineStr">
        <is>
          <t>C2</t>
        </is>
      </c>
      <c r="N335" t="inlineStr"/>
      <c r="O335" t="inlineStr">
        <is>
          <t>North American; Toronto</t>
        </is>
      </c>
      <c r="P335" t="inlineStr">
        <is>
          <t>Global North</t>
        </is>
      </c>
      <c r="Q335" t="inlineStr"/>
      <c r="R335" t="inlineStr"/>
      <c r="S335" t="inlineStr"/>
      <c r="T335" t="inlineStr">
        <is>
          <t>conceptual</t>
        </is>
      </c>
      <c r="U335" t="inlineStr"/>
      <c r="V335" t="inlineStr"/>
      <c r="W335" t="inlineStr">
        <is>
          <t>auto: This article accounts for this trend by putting forward the concept of the public–private ridehail partnership (PPRP).</t>
        </is>
      </c>
      <c r="X335" t="inlineStr"/>
      <c r="Y335" t="inlineStr"/>
      <c r="Z335" t="inlineStr">
        <is>
          <t>high</t>
        </is>
      </c>
      <c r="AA335" t="inlineStr">
        <is>
          <t>C2:recent</t>
        </is>
      </c>
      <c r="AB335" t="inlineStr"/>
      <c r="AC335" t="n">
        <v>0</v>
      </c>
    </row>
    <row r="336">
      <c r="A336" t="inlineStr">
        <is>
          <t>LM00335</t>
        </is>
      </c>
      <c r="B336" t="inlineStr">
        <is>
          <t>Cities and Digital Platforms</t>
        </is>
      </c>
      <c r="C336" t="n">
        <v>2025</v>
      </c>
      <c r="D336" t="inlineStr">
        <is>
          <t>Elham Bahmanteymouri</t>
        </is>
      </c>
      <c r="E336" t="inlineStr">
        <is>
          <t>Routledge eBooks</t>
        </is>
      </c>
      <c r="F336" t="inlineStr">
        <is>
          <t>book</t>
        </is>
      </c>
      <c r="G336" t="inlineStr">
        <is>
          <t>10.4324/9781003352273</t>
        </is>
      </c>
      <c r="H336" t="inlineStr">
        <is>
          <t>W4407904345</t>
        </is>
      </c>
      <c r="I336" t="inlineStr">
        <is>
          <t>https://doi.org/10.4324/9781003352273</t>
        </is>
      </c>
      <c r="J336" t="inlineStr"/>
      <c r="K336" t="n">
        <v>0</v>
      </c>
      <c r="L336" t="inlineStr">
        <is>
          <t>C</t>
        </is>
      </c>
      <c r="M336" t="inlineStr">
        <is>
          <t>C2</t>
        </is>
      </c>
      <c r="N336" t="inlineStr"/>
      <c r="O336" t="inlineStr">
        <is>
          <t>Amsterdam; Auckland; Singapore; Sydney</t>
        </is>
      </c>
      <c r="P336" t="inlineStr">
        <is>
          <t>Multi-region</t>
        </is>
      </c>
      <c r="Q336" t="inlineStr"/>
      <c r="R336" t="inlineStr"/>
      <c r="S336" t="inlineStr"/>
      <c r="T336" t="inlineStr">
        <is>
          <t>qualitative</t>
        </is>
      </c>
      <c r="U336" t="inlineStr"/>
      <c r="V336" t="inlineStr"/>
      <c r="W336" t="inlineStr">
        <is>
          <t>auto: Through rigorous case studies from cities such as Amsterdam, Auckland, Sydney, and Singapore, this book delves into the operational dynamics of these platforms as part of the broader “Cybernetic Capital Cycle”, a concept developed by the author to describe the nuanced interplay between digital in…</t>
        </is>
      </c>
      <c r="X336" t="inlineStr"/>
      <c r="Y336" t="inlineStr"/>
      <c r="Z336" t="inlineStr">
        <is>
          <t>high</t>
        </is>
      </c>
      <c r="AA336" t="inlineStr">
        <is>
          <t>C2:recent</t>
        </is>
      </c>
      <c r="AB336" t="inlineStr"/>
      <c r="AC336" t="n">
        <v>0</v>
      </c>
    </row>
    <row r="337">
      <c r="A337" t="inlineStr">
        <is>
          <t>LM00336</t>
        </is>
      </c>
      <c r="B337" t="inlineStr">
        <is>
          <t>Platform co-operatives in the age of gig economy: A case study of SEWA cooperative federation</t>
        </is>
      </c>
      <c r="C337" t="n">
        <v>2025</v>
      </c>
      <c r="D337" t="inlineStr">
        <is>
          <t>Sreeda TP</t>
        </is>
      </c>
      <c r="E337" t="inlineStr">
        <is>
          <t>International Journal of Arts Humanities and Social Studies</t>
        </is>
      </c>
      <c r="F337" t="inlineStr">
        <is>
          <t>article</t>
        </is>
      </c>
      <c r="G337" t="inlineStr">
        <is>
          <t>10.33545/26648652.2025.v7.i1d.228</t>
        </is>
      </c>
      <c r="H337" t="inlineStr">
        <is>
          <t>W4410700110</t>
        </is>
      </c>
      <c r="I337" t="inlineStr">
        <is>
          <t>https://doi.org/10.33545/26648652.2025.v7.i1d.228</t>
        </is>
      </c>
      <c r="J337" t="inlineStr">
        <is>
          <t>https://www.socialstudiesjournal.com/archives/2025/vol7issue1/PartD/7-1-85-307.pdf</t>
        </is>
      </c>
      <c r="K337" t="n">
        <v>0</v>
      </c>
      <c r="L337" t="inlineStr">
        <is>
          <t>C</t>
        </is>
      </c>
      <c r="M337" t="inlineStr">
        <is>
          <t>C2</t>
        </is>
      </c>
      <c r="N337" t="inlineStr"/>
      <c r="O337" t="inlineStr">
        <is>
          <t>Gujarat; India</t>
        </is>
      </c>
      <c r="P337" t="inlineStr">
        <is>
          <t>South Asia</t>
        </is>
      </c>
      <c r="Q337" t="inlineStr">
        <is>
          <t>Y</t>
        </is>
      </c>
      <c r="R337" t="inlineStr"/>
      <c r="S337" t="inlineStr"/>
      <c r="T337" t="inlineStr">
        <is>
          <t>qualitative</t>
        </is>
      </c>
      <c r="U337" t="inlineStr"/>
      <c r="V337" t="inlineStr"/>
      <c r="W337" t="inlineStr">
        <is>
          <t>auto: This paper is a case study of such an initiative located in Gujarat named SEWA co-operative federation on how they make use of digital platform for connectivity and networking.</t>
        </is>
      </c>
      <c r="X337" t="inlineStr"/>
      <c r="Y337" t="inlineStr"/>
      <c r="Z337" t="inlineStr">
        <is>
          <t>high</t>
        </is>
      </c>
      <c r="AA337" t="inlineStr">
        <is>
          <t>C2:india</t>
        </is>
      </c>
      <c r="AB337" t="inlineStr"/>
      <c r="AC337" t="n">
        <v>0</v>
      </c>
    </row>
    <row r="338">
      <c r="A338" t="inlineStr">
        <is>
          <t>LM00337</t>
        </is>
      </c>
      <c r="B338" t="inlineStr">
        <is>
          <t>The Gig Economy in India: Economic Empowerment or Precarious Employment?</t>
        </is>
      </c>
      <c r="C338" t="n">
        <v>2025</v>
      </c>
      <c r="D338" t="inlineStr">
        <is>
          <t>Heena Gandhi</t>
        </is>
      </c>
      <c r="E338" t="inlineStr">
        <is>
          <t>International Journal For Multidisciplinary Research</t>
        </is>
      </c>
      <c r="F338" t="inlineStr">
        <is>
          <t>article</t>
        </is>
      </c>
      <c r="G338" t="inlineStr">
        <is>
          <t>10.36948/ijfmr.2025.v07i03.48782</t>
        </is>
      </c>
      <c r="H338" t="inlineStr">
        <is>
          <t>W4411750796</t>
        </is>
      </c>
      <c r="I338" t="inlineStr">
        <is>
          <t>https://doi.org/10.36948/ijfmr.2025.v07i03.48782</t>
        </is>
      </c>
      <c r="J338" t="inlineStr">
        <is>
          <t>https://www.ijfmr.com/papers/2025/3/48782.pdf</t>
        </is>
      </c>
      <c r="K338" t="n">
        <v>0</v>
      </c>
      <c r="L338" t="inlineStr">
        <is>
          <t>C</t>
        </is>
      </c>
      <c r="M338" t="inlineStr">
        <is>
          <t>C2</t>
        </is>
      </c>
      <c r="N338" t="inlineStr"/>
      <c r="O338" t="inlineStr">
        <is>
          <t>India</t>
        </is>
      </c>
      <c r="P338" t="inlineStr">
        <is>
          <t>South Asia</t>
        </is>
      </c>
      <c r="Q338" t="inlineStr">
        <is>
          <t>Y</t>
        </is>
      </c>
      <c r="R338" t="inlineStr"/>
      <c r="S338" t="inlineStr"/>
      <c r="T338" t="inlineStr">
        <is>
          <t>qualitative</t>
        </is>
      </c>
      <c r="U338" t="inlineStr"/>
      <c r="V338" t="inlineStr"/>
      <c r="W338" t="inlineStr">
        <is>
          <t>auto: This paper investigates whether the gig economy is a tool of economic empowerment or a vehicle for precarious employment.</t>
        </is>
      </c>
      <c r="X338" t="inlineStr">
        <is>
          <t>auto: However, it also raises critical concerns related to income insecurity, absence of social protection, and the lack of formal labor rights.</t>
        </is>
      </c>
      <c r="Y338" t="inlineStr"/>
      <c r="Z338" t="inlineStr">
        <is>
          <t>high</t>
        </is>
      </c>
      <c r="AA338" t="inlineStr">
        <is>
          <t>C2:india</t>
        </is>
      </c>
      <c r="AB338" t="inlineStr"/>
      <c r="AC338" t="n">
        <v>0</v>
      </c>
    </row>
    <row r="339">
      <c r="A339" t="inlineStr">
        <is>
          <t>LM00338</t>
        </is>
      </c>
      <c r="B339" t="inlineStr">
        <is>
          <t>Design in the ‘hybrid city’: DIY meets platform urbanism in Dhaka’s informal settlements</t>
        </is>
      </c>
      <c r="C339" t="n">
        <v>2016</v>
      </c>
      <c r="D339" t="inlineStr">
        <is>
          <t>Teresa Swist; Liam Magee; David Sweeting</t>
        </is>
      </c>
      <c r="E339" t="inlineStr"/>
      <c r="F339" t="inlineStr">
        <is>
          <t>other</t>
        </is>
      </c>
      <c r="G339" t="inlineStr">
        <is>
          <t>10.64628/aa.jahkyygy6</t>
        </is>
      </c>
      <c r="H339" t="inlineStr">
        <is>
          <t>W4413617258</t>
        </is>
      </c>
      <c r="I339" t="inlineStr">
        <is>
          <t>https://doi.org/10.64628/aa.jahkyygy6</t>
        </is>
      </c>
      <c r="J339" t="inlineStr"/>
      <c r="K339" t="n">
        <v>0</v>
      </c>
      <c r="L339" t="inlineStr">
        <is>
          <t>C</t>
        </is>
      </c>
      <c r="M339" t="inlineStr">
        <is>
          <t>C2</t>
        </is>
      </c>
      <c r="N339" t="inlineStr"/>
      <c r="O339" t="inlineStr">
        <is>
          <t>Dhaka</t>
        </is>
      </c>
      <c r="P339" t="inlineStr">
        <is>
          <t>South Asia</t>
        </is>
      </c>
      <c r="Q339" t="inlineStr"/>
      <c r="R339" t="inlineStr"/>
      <c r="S339" t="inlineStr"/>
      <c r="T339" t="inlineStr">
        <is>
          <t>unclear</t>
        </is>
      </c>
      <c r="U339" t="inlineStr"/>
      <c r="V339" t="inlineStr"/>
      <c r="W339" t="inlineStr"/>
      <c r="X339" t="inlineStr"/>
      <c r="Y339" t="inlineStr"/>
      <c r="Z339" t="inlineStr">
        <is>
          <t>low</t>
        </is>
      </c>
      <c r="AA339" t="inlineStr">
        <is>
          <t>C2:india</t>
        </is>
      </c>
      <c r="AB339" t="inlineStr"/>
    </row>
    <row r="340">
      <c r="A340" t="inlineStr">
        <is>
          <t>LM00339</t>
        </is>
      </c>
      <c r="B340" t="inlineStr">
        <is>
          <t>Gig Workers in India- a Legal Perspective</t>
        </is>
      </c>
      <c r="C340" t="n">
        <v>2025</v>
      </c>
      <c r="D340" t="inlineStr">
        <is>
          <t>BHASWATI TALUKDAR; Bimal Kumar Baishya</t>
        </is>
      </c>
      <c r="E340" t="inlineStr">
        <is>
          <t>Advanced International Journal for Research</t>
        </is>
      </c>
      <c r="F340" t="inlineStr">
        <is>
          <t>article</t>
        </is>
      </c>
      <c r="G340" t="inlineStr">
        <is>
          <t>10.63363/aijfr.2025.v06i06.1776</t>
        </is>
      </c>
      <c r="H340" t="inlineStr">
        <is>
          <t>W4416022710</t>
        </is>
      </c>
      <c r="I340" t="inlineStr">
        <is>
          <t>https://doi.org/10.63363/aijfr.2025.v06i06.1776</t>
        </is>
      </c>
      <c r="J340" t="inlineStr">
        <is>
          <t>https://aijfr.com/papers/2025/6/1776.pdf</t>
        </is>
      </c>
      <c r="K340" t="n">
        <v>0</v>
      </c>
      <c r="L340" t="inlineStr">
        <is>
          <t>C</t>
        </is>
      </c>
      <c r="M340" t="inlineStr">
        <is>
          <t>C2</t>
        </is>
      </c>
      <c r="N340" t="inlineStr"/>
      <c r="O340" t="inlineStr">
        <is>
          <t>India</t>
        </is>
      </c>
      <c r="P340" t="inlineStr">
        <is>
          <t>South Asia</t>
        </is>
      </c>
      <c r="Q340" t="inlineStr">
        <is>
          <t>Y</t>
        </is>
      </c>
      <c r="R340" t="inlineStr"/>
      <c r="S340" t="inlineStr"/>
      <c r="T340" t="inlineStr">
        <is>
          <t>conceptual</t>
        </is>
      </c>
      <c r="U340" t="inlineStr"/>
      <c r="V340" t="inlineStr"/>
      <c r="W340" t="inlineStr">
        <is>
          <t>auto: In recent years, India has seen a rapid rise in the gig economy, driven by digital platforms, widespread smartphone use, and the growing demand for flexible, on-demand services.</t>
        </is>
      </c>
      <c r="X340" t="inlineStr">
        <is>
          <t>auto: As a result, gig workers frequently deal with low and unpredictable incomes, long hours, and lack of support in times of illness or injury.</t>
        </is>
      </c>
      <c r="Y340" t="inlineStr"/>
      <c r="Z340" t="inlineStr">
        <is>
          <t>high</t>
        </is>
      </c>
      <c r="AA340" t="inlineStr">
        <is>
          <t>C2:india</t>
        </is>
      </c>
      <c r="AB340" t="inlineStr"/>
      <c r="AC340" t="n">
        <v>0</v>
      </c>
    </row>
    <row r="341">
      <c r="A341" t="inlineStr">
        <is>
          <t>LM00340</t>
        </is>
      </c>
      <c r="B341" t="inlineStr">
        <is>
          <t>The Virtual City in the Twenty-First Century: Exploring the Role of Digital Platforms in Urban Evolution</t>
        </is>
      </c>
      <c r="C341" t="n">
        <v>2025</v>
      </c>
      <c r="D341" t="inlineStr">
        <is>
          <t>Patricio Julián Feldman; Susana Finquelievich</t>
        </is>
      </c>
      <c r="E341" t="inlineStr">
        <is>
          <t>The urban book series</t>
        </is>
      </c>
      <c r="F341" t="inlineStr">
        <is>
          <t>book-chapter</t>
        </is>
      </c>
      <c r="G341" t="inlineStr">
        <is>
          <t>10.1007/978-3-031-94235-8_32</t>
        </is>
      </c>
      <c r="H341" t="inlineStr">
        <is>
          <t>W4416240257</t>
        </is>
      </c>
      <c r="I341" t="inlineStr">
        <is>
          <t>https://doi.org/10.1007/978-3-031-94235-8_32</t>
        </is>
      </c>
      <c r="J341" t="inlineStr"/>
      <c r="K341" t="n">
        <v>0</v>
      </c>
      <c r="L341" t="inlineStr">
        <is>
          <t>C</t>
        </is>
      </c>
      <c r="M341" t="inlineStr">
        <is>
          <t>C2</t>
        </is>
      </c>
      <c r="N341" t="inlineStr"/>
      <c r="O341" t="inlineStr"/>
      <c r="P341" t="inlineStr">
        <is>
          <t>Not place-specific</t>
        </is>
      </c>
      <c r="Q341" t="inlineStr"/>
      <c r="R341" t="inlineStr"/>
      <c r="S341" t="inlineStr"/>
      <c r="T341" t="inlineStr">
        <is>
          <t>unclear</t>
        </is>
      </c>
      <c r="U341" t="inlineStr"/>
      <c r="V341" t="inlineStr"/>
      <c r="W341" t="inlineStr"/>
      <c r="X341" t="inlineStr"/>
      <c r="Y341" t="inlineStr"/>
      <c r="Z341" t="inlineStr">
        <is>
          <t>low</t>
        </is>
      </c>
      <c r="AA341" t="inlineStr">
        <is>
          <t>C2:recent</t>
        </is>
      </c>
      <c r="AB341" t="inlineStr"/>
      <c r="AC341" t="n">
        <v>0</v>
      </c>
    </row>
    <row r="342">
      <c r="A342" t="inlineStr">
        <is>
          <t>LM00341</t>
        </is>
      </c>
      <c r="B342" t="inlineStr">
        <is>
          <t>Platform Urbanism and Land-Use Transformation in Shanghai: Dual Neighborhood Impacts of E-Commerce Logistics in Relation to the 2017–2035 Master Plan</t>
        </is>
      </c>
      <c r="C342" t="n">
        <v>2025</v>
      </c>
      <c r="D342" t="inlineStr">
        <is>
          <t>Jane Zheng; Yuanyi Zhao</t>
        </is>
      </c>
      <c r="E342" t="inlineStr">
        <is>
          <t>Land</t>
        </is>
      </c>
      <c r="F342" t="inlineStr">
        <is>
          <t>article</t>
        </is>
      </c>
      <c r="G342" t="inlineStr">
        <is>
          <t>10.3390/land15010004</t>
        </is>
      </c>
      <c r="H342" t="inlineStr">
        <is>
          <t>W7116204708</t>
        </is>
      </c>
      <c r="I342" t="inlineStr">
        <is>
          <t>https://doi.org/10.3390/land15010004</t>
        </is>
      </c>
      <c r="J342" t="inlineStr">
        <is>
          <t>https://www.mdpi.com/2073-445X/15/1/4/pdf?version=1766146343</t>
        </is>
      </c>
      <c r="K342" t="n">
        <v>0</v>
      </c>
      <c r="L342" t="inlineStr">
        <is>
          <t>C</t>
        </is>
      </c>
      <c r="M342" t="inlineStr">
        <is>
          <t>C2</t>
        </is>
      </c>
      <c r="N342" t="inlineStr"/>
      <c r="O342" t="inlineStr">
        <is>
          <t>Shanghai</t>
        </is>
      </c>
      <c r="P342" t="inlineStr">
        <is>
          <t>China &amp; East Asia</t>
        </is>
      </c>
      <c r="Q342" t="inlineStr"/>
      <c r="R342" t="inlineStr"/>
      <c r="S342" t="inlineStr"/>
      <c r="T342" t="inlineStr">
        <is>
          <t>mixed</t>
        </is>
      </c>
      <c r="U342" t="inlineStr"/>
      <c r="V342" t="inlineStr"/>
      <c r="W342" t="inlineStr">
        <is>
          <t>auto: This study examines how platformized e-commerce logistics reshapes urban land use at the neighborhood scale, using Shanghai as an empirical case.</t>
        </is>
      </c>
      <c r="X342" t="inlineStr"/>
      <c r="Y342" t="inlineStr"/>
      <c r="Z342" t="inlineStr">
        <is>
          <t>high</t>
        </is>
      </c>
      <c r="AA342" t="inlineStr">
        <is>
          <t>C2:recent</t>
        </is>
      </c>
      <c r="AB342" t="inlineStr"/>
      <c r="AC342" t="n">
        <v>0</v>
      </c>
    </row>
    <row r="343">
      <c r="A343" t="inlineStr">
        <is>
          <t>LM00342</t>
        </is>
      </c>
      <c r="B343" t="inlineStr">
        <is>
          <t>Platform Urbanism and Culinary Logistics: Mobility, Infrastructure, and Micro-Entrepreneurship in Post-Digital Kolkata</t>
        </is>
      </c>
      <c r="C343" t="n">
        <v>2026</v>
      </c>
      <c r="D343" t="inlineStr">
        <is>
          <t>Sayon Pramanik; Sampurna Biswas</t>
        </is>
      </c>
      <c r="E343" t="inlineStr">
        <is>
          <t>Lecture notes in civil engineering</t>
        </is>
      </c>
      <c r="F343" t="inlineStr">
        <is>
          <t>conference-paper</t>
        </is>
      </c>
      <c r="G343" t="inlineStr">
        <is>
          <t>10.1007/978-981-95-3873-7_11</t>
        </is>
      </c>
      <c r="H343" t="inlineStr">
        <is>
          <t>W7118006460</t>
        </is>
      </c>
      <c r="I343" t="inlineStr">
        <is>
          <t>https://doi.org/10.1007/978-981-95-3873-7_11</t>
        </is>
      </c>
      <c r="J343" t="inlineStr"/>
      <c r="K343" t="n">
        <v>0</v>
      </c>
      <c r="L343" t="inlineStr">
        <is>
          <t>C</t>
        </is>
      </c>
      <c r="M343" t="inlineStr">
        <is>
          <t>C2</t>
        </is>
      </c>
      <c r="N343" t="inlineStr"/>
      <c r="O343" t="inlineStr">
        <is>
          <t>Kolkata</t>
        </is>
      </c>
      <c r="P343" t="inlineStr">
        <is>
          <t>South Asia</t>
        </is>
      </c>
      <c r="Q343" t="inlineStr">
        <is>
          <t>Y</t>
        </is>
      </c>
      <c r="R343" t="inlineStr"/>
      <c r="S343" t="inlineStr"/>
      <c r="T343" t="inlineStr">
        <is>
          <t>unclear</t>
        </is>
      </c>
      <c r="U343" t="inlineStr"/>
      <c r="V343" t="inlineStr"/>
      <c r="W343" t="inlineStr"/>
      <c r="X343" t="inlineStr"/>
      <c r="Y343" t="inlineStr"/>
      <c r="Z343" t="inlineStr">
        <is>
          <t>low</t>
        </is>
      </c>
      <c r="AA343" t="inlineStr">
        <is>
          <t>C2:india</t>
        </is>
      </c>
      <c r="AB343" t="inlineStr"/>
      <c r="AC343" t="n">
        <v>0</v>
      </c>
    </row>
    <row r="344">
      <c r="A344" t="inlineStr">
        <is>
          <t>LM00343</t>
        </is>
      </c>
      <c r="B344" t="inlineStr">
        <is>
          <t>Platformisation, technical citizenship and making space for rights in the city</t>
        </is>
      </c>
      <c r="C344" t="n">
        <v>2025</v>
      </c>
      <c r="D344" t="inlineStr">
        <is>
          <t>Aphra Kerr; Jos Pierson</t>
        </is>
      </c>
      <c r="E344" t="inlineStr">
        <is>
          <t>Edward Elgar Publishing eBooks</t>
        </is>
      </c>
      <c r="F344" t="inlineStr">
        <is>
          <t>book-chapter</t>
        </is>
      </c>
      <c r="G344" t="inlineStr">
        <is>
          <t>10.4337/9781035313761.00032</t>
        </is>
      </c>
      <c r="H344" t="inlineStr">
        <is>
          <t>W7119656903</t>
        </is>
      </c>
      <c r="I344" t="inlineStr">
        <is>
          <t>https://doi.org/10.4337/9781035313761.00032</t>
        </is>
      </c>
      <c r="J344" t="inlineStr">
        <is>
          <t>https://doi.org/10.4337/9781035313761.00032</t>
        </is>
      </c>
      <c r="K344" t="n">
        <v>0</v>
      </c>
      <c r="L344" t="inlineStr">
        <is>
          <t>C</t>
        </is>
      </c>
      <c r="M344" t="inlineStr">
        <is>
          <t>C2</t>
        </is>
      </c>
      <c r="N344" t="inlineStr"/>
      <c r="O344" t="inlineStr"/>
      <c r="P344" t="inlineStr">
        <is>
          <t>Not place-specific</t>
        </is>
      </c>
      <c r="Q344" t="inlineStr"/>
      <c r="R344" t="inlineStr"/>
      <c r="S344" t="inlineStr"/>
      <c r="T344" t="inlineStr">
        <is>
          <t>unclear</t>
        </is>
      </c>
      <c r="U344" t="inlineStr"/>
      <c r="V344" t="inlineStr"/>
      <c r="W344" t="inlineStr"/>
      <c r="X344" t="inlineStr"/>
      <c r="Y344" t="inlineStr"/>
      <c r="Z344" t="inlineStr">
        <is>
          <t>low</t>
        </is>
      </c>
      <c r="AA344" t="inlineStr">
        <is>
          <t>C2:recent</t>
        </is>
      </c>
      <c r="AB344" t="inlineStr">
        <is>
          <t>W7155507327</t>
        </is>
      </c>
      <c r="AC344" t="n">
        <v>0</v>
      </c>
    </row>
    <row r="345">
      <c r="A345" t="inlineStr">
        <is>
          <t>LM00344</t>
        </is>
      </c>
      <c r="B345" t="inlineStr">
        <is>
          <t>Participatory Governance through AI-Powered Digital Platforms: A Comparative Study of Indian States</t>
        </is>
      </c>
      <c r="C345" t="n">
        <v>2026</v>
      </c>
      <c r="D345" t="inlineStr">
        <is>
          <t>Dr. J Narsimuloo</t>
        </is>
      </c>
      <c r="E345" t="inlineStr">
        <is>
          <t>Journal of Emerging Technologies and Innovative Research</t>
        </is>
      </c>
      <c r="F345" t="inlineStr">
        <is>
          <t>article</t>
        </is>
      </c>
      <c r="G345" t="inlineStr">
        <is>
          <t>10.56975/jetir.v13i1.574746</t>
        </is>
      </c>
      <c r="H345" t="inlineStr">
        <is>
          <t>W7125483078</t>
        </is>
      </c>
      <c r="I345" t="inlineStr">
        <is>
          <t>https://doi.org/10.56975/jetir.v13i1.574746</t>
        </is>
      </c>
      <c r="J345" t="inlineStr">
        <is>
          <t>http://www.jetir.org/papers/JETIR2601349.pdf</t>
        </is>
      </c>
      <c r="K345" t="n">
        <v>0</v>
      </c>
      <c r="L345" t="inlineStr">
        <is>
          <t>C</t>
        </is>
      </c>
      <c r="M345" t="inlineStr">
        <is>
          <t>C2</t>
        </is>
      </c>
      <c r="N345" t="inlineStr"/>
      <c r="O345" t="inlineStr">
        <is>
          <t>Andhra Pradesh; India; Karnataka; Kerala; Maharashtra</t>
        </is>
      </c>
      <c r="P345" t="inlineStr">
        <is>
          <t>South Asia</t>
        </is>
      </c>
      <c r="Q345" t="inlineStr">
        <is>
          <t>Y</t>
        </is>
      </c>
      <c r="R345" t="inlineStr"/>
      <c r="S345" t="inlineStr"/>
      <c r="T345" t="inlineStr">
        <is>
          <t>mixed</t>
        </is>
      </c>
      <c r="U345" t="inlineStr"/>
      <c r="V345" t="inlineStr"/>
      <c r="W345" t="inlineStr">
        <is>
          <t>auto: This paper examines the role of Artificial Intelligence (AI)-powered digital platforms in enhancing participatory governance in India, with a comparative analysis of four states—Kerala, Karnataka, Maharashtra, and Andhra Pradesh.</t>
        </is>
      </c>
      <c r="X345" t="inlineStr"/>
      <c r="Y345" t="inlineStr"/>
      <c r="Z345" t="inlineStr">
        <is>
          <t>high</t>
        </is>
      </c>
      <c r="AA345" t="inlineStr">
        <is>
          <t>C2:india</t>
        </is>
      </c>
      <c r="AB345" t="inlineStr"/>
      <c r="AC345" t="n">
        <v>0</v>
      </c>
    </row>
    <row r="346">
      <c r="A346" t="inlineStr">
        <is>
          <t>LM00345</t>
        </is>
      </c>
      <c r="B346" t="inlineStr">
        <is>
          <t>GIG ECONOMY IN INDIA: OPPORTUNITIES AND CHALLENGES</t>
        </is>
      </c>
      <c r="C346" t="n">
        <v>2026</v>
      </c>
      <c r="D346" t="inlineStr">
        <is>
          <t>Tushar Kumar Goyal</t>
        </is>
      </c>
      <c r="E346" t="inlineStr"/>
      <c r="F346" t="inlineStr">
        <is>
          <t>article</t>
        </is>
      </c>
      <c r="G346" t="inlineStr">
        <is>
          <t>10.47760/oajmr.2026.v02i02.002</t>
        </is>
      </c>
      <c r="H346" t="inlineStr">
        <is>
          <t>W7130941463</t>
        </is>
      </c>
      <c r="I346" t="inlineStr">
        <is>
          <t>https://doi.org/10.47760/oajmr.2026.v02i02.002</t>
        </is>
      </c>
      <c r="J346" t="inlineStr">
        <is>
          <t>https://doi.org/10.47760/oajmr.2026.v02i02.002</t>
        </is>
      </c>
      <c r="K346" t="n">
        <v>0</v>
      </c>
      <c r="L346" t="inlineStr">
        <is>
          <t>C</t>
        </is>
      </c>
      <c r="M346" t="inlineStr">
        <is>
          <t>C2</t>
        </is>
      </c>
      <c r="N346" t="inlineStr"/>
      <c r="O346" t="inlineStr">
        <is>
          <t>India</t>
        </is>
      </c>
      <c r="P346" t="inlineStr">
        <is>
          <t>South Asia</t>
        </is>
      </c>
      <c r="Q346" t="inlineStr">
        <is>
          <t>Y</t>
        </is>
      </c>
      <c r="R346" t="inlineStr"/>
      <c r="S346" t="inlineStr"/>
      <c r="T346" t="inlineStr">
        <is>
          <t>unclear</t>
        </is>
      </c>
      <c r="U346" t="inlineStr"/>
      <c r="V346" t="inlineStr"/>
      <c r="W346" t="inlineStr">
        <is>
          <t>auto: India’s gig economy has expanded quickly over the past decade, stepping in to tackle ongoing issues like structural unemployment and too few steady jobs in a more open market.</t>
        </is>
      </c>
      <c r="X346" t="inlineStr">
        <is>
          <t>auto: Using concepts like precarious labor and intersectionality, it highlights how class divides, caste discrimination, gender gaps and urban-rural splits influence the participants.</t>
        </is>
      </c>
      <c r="Y346" t="inlineStr"/>
      <c r="Z346" t="inlineStr">
        <is>
          <t>high</t>
        </is>
      </c>
      <c r="AA346" t="inlineStr">
        <is>
          <t>C2:india</t>
        </is>
      </c>
      <c r="AB346" t="inlineStr"/>
      <c r="AC346" t="n">
        <v>0</v>
      </c>
    </row>
    <row r="347">
      <c r="A347" t="inlineStr">
        <is>
          <t>LM00346</t>
        </is>
      </c>
      <c r="B347" t="inlineStr">
        <is>
          <t>ANALYSIS OF GIG WORKERS IN THE INDIAN LABOUR MARKET WITH SPECIAL REFERENCE TO BENGALURU URBAN</t>
        </is>
      </c>
      <c r="C347" t="n">
        <v>2025</v>
      </c>
      <c r="D347" t="inlineStr">
        <is>
          <t>ANU THOMAS; DR. CJ LAKSHMI</t>
        </is>
      </c>
      <c r="E347" t="inlineStr">
        <is>
          <t>International Journal of Social Sciences and Commerce</t>
        </is>
      </c>
      <c r="F347" t="inlineStr">
        <is>
          <t>article</t>
        </is>
      </c>
      <c r="G347" t="inlineStr">
        <is>
          <t>10.64906/ijssc.2025.02.03.90</t>
        </is>
      </c>
      <c r="H347" t="inlineStr">
        <is>
          <t>W7134130263</t>
        </is>
      </c>
      <c r="I347" t="inlineStr">
        <is>
          <t>https://doi.org/10.64906/ijssc.2025.02.03.90</t>
        </is>
      </c>
      <c r="J347" t="inlineStr">
        <is>
          <t>https://doi.org/10.64906/ijssc.2025.02.03.90</t>
        </is>
      </c>
      <c r="K347" t="n">
        <v>0</v>
      </c>
      <c r="L347" t="inlineStr">
        <is>
          <t>C</t>
        </is>
      </c>
      <c r="M347" t="inlineStr">
        <is>
          <t>C2</t>
        </is>
      </c>
      <c r="N347" t="inlineStr"/>
      <c r="O347" t="inlineStr">
        <is>
          <t>Bengaluru; India</t>
        </is>
      </c>
      <c r="P347" t="inlineStr">
        <is>
          <t>South Asia</t>
        </is>
      </c>
      <c r="Q347" t="inlineStr">
        <is>
          <t>Y</t>
        </is>
      </c>
      <c r="R347" t="inlineStr"/>
      <c r="S347" t="inlineStr"/>
      <c r="T347" t="inlineStr">
        <is>
          <t>quantitative</t>
        </is>
      </c>
      <c r="U347" t="inlineStr"/>
      <c r="V347" t="inlineStr"/>
      <c r="W347" t="inlineStr">
        <is>
          <t>auto: Between 1951 to 2012, there has been a significant shift in the population from agriculture to manufacturing and services.It was mainly during this time, when people started pursuing multiple small jobs, free-floating projects transcending themselves into digital marketplace where workers connect…</t>
        </is>
      </c>
      <c r="X347" t="inlineStr">
        <is>
          <t>auto: Between 1951 to 2012, there has been a significant shift in the population from agriculture to manufacturing and services.It was mainly during this time, when people started pursuing multiple small jobs, free-floating projects transcending themselves into digital marketplace where workers connect with their customers through online platforms.Freelancers with short-term commitments and workers who are connected through online platforms such as Uber, Ola, Swiggy and Zomato include themselves in…</t>
        </is>
      </c>
      <c r="Y347" t="inlineStr"/>
      <c r="Z347" t="inlineStr">
        <is>
          <t>high</t>
        </is>
      </c>
      <c r="AA347" t="inlineStr">
        <is>
          <t>C2:india</t>
        </is>
      </c>
      <c r="AB347" t="inlineStr"/>
      <c r="AC347" t="n">
        <v>0</v>
      </c>
    </row>
    <row r="348">
      <c r="A348" t="inlineStr">
        <is>
          <t>LM00347</t>
        </is>
      </c>
      <c r="B348" t="inlineStr">
        <is>
          <t>Youth Participation and Work Experience in India’s Gig Economy: Evidence from Bengaluru</t>
        </is>
      </c>
      <c r="C348" t="n">
        <v>2026</v>
      </c>
      <c r="D348" t="inlineStr">
        <is>
          <t>Ananya Sahoo; Jennifer Fernandes</t>
        </is>
      </c>
      <c r="E348" t="inlineStr">
        <is>
          <t>Scholars Journal of Economics Business and Management</t>
        </is>
      </c>
      <c r="F348" t="inlineStr">
        <is>
          <t>article</t>
        </is>
      </c>
      <c r="G348" t="inlineStr">
        <is>
          <t>10.36347/sjebm.2026.v13i02.004</t>
        </is>
      </c>
      <c r="H348" t="inlineStr">
        <is>
          <t>W7134250700</t>
        </is>
      </c>
      <c r="I348" t="inlineStr">
        <is>
          <t>https://doi.org/10.36347/sjebm.2026.v13i02.004</t>
        </is>
      </c>
      <c r="J348" t="inlineStr">
        <is>
          <t>https://saspublishers.com/article/23707/download/</t>
        </is>
      </c>
      <c r="K348" t="n">
        <v>0</v>
      </c>
      <c r="L348" t="inlineStr">
        <is>
          <t>C</t>
        </is>
      </c>
      <c r="M348" t="inlineStr">
        <is>
          <t>C2</t>
        </is>
      </c>
      <c r="N348" t="inlineStr"/>
      <c r="O348" t="inlineStr">
        <is>
          <t>Bengaluru; India</t>
        </is>
      </c>
      <c r="P348" t="inlineStr">
        <is>
          <t>South Asia</t>
        </is>
      </c>
      <c r="Q348" t="inlineStr">
        <is>
          <t>Y</t>
        </is>
      </c>
      <c r="R348" t="inlineStr"/>
      <c r="S348" t="inlineStr"/>
      <c r="T348" t="inlineStr">
        <is>
          <t>quantitative</t>
        </is>
      </c>
      <c r="U348" t="inlineStr"/>
      <c r="V348" t="inlineStr"/>
      <c r="W348" t="inlineStr">
        <is>
          <t>auto: The gig economy has become a key factor in the transformation of India's urban labour market, changing not only how work is organised but also how it is accessed.</t>
        </is>
      </c>
      <c r="X348" t="inlineStr"/>
      <c r="Y348" t="inlineStr"/>
      <c r="Z348" t="inlineStr">
        <is>
          <t>high</t>
        </is>
      </c>
      <c r="AA348" t="inlineStr">
        <is>
          <t>C2:india</t>
        </is>
      </c>
      <c r="AB348" t="inlineStr"/>
      <c r="AC348" t="n">
        <v>0</v>
      </c>
    </row>
    <row r="349">
      <c r="A349" t="inlineStr">
        <is>
          <t>LM00348</t>
        </is>
      </c>
      <c r="B349" t="inlineStr">
        <is>
          <t>The digitalization of urban governance in India : platforms, processes and people in Bhubaneswar</t>
        </is>
      </c>
      <c r="C349" t="n">
        <v>2025</v>
      </c>
      <c r="D349" t="inlineStr">
        <is>
          <t>Khaliq Parkar</t>
        </is>
      </c>
      <c r="E349" t="inlineStr"/>
      <c r="F349" t="inlineStr">
        <is>
          <t>dissertation</t>
        </is>
      </c>
      <c r="G349" t="inlineStr">
        <is>
          <t>10.70675/d873922dzaa84z42cbza800z2e64d2aebeaa</t>
        </is>
      </c>
      <c r="H349" t="inlineStr">
        <is>
          <t>W7152371429</t>
        </is>
      </c>
      <c r="I349" t="inlineStr">
        <is>
          <t>https://doi.org/10.70675/d873922dzaa84z42cbza800z2e64d2aebeaa</t>
        </is>
      </c>
      <c r="J349" t="inlineStr"/>
      <c r="K349" t="n">
        <v>0</v>
      </c>
      <c r="L349" t="inlineStr">
        <is>
          <t>C</t>
        </is>
      </c>
      <c r="M349" t="inlineStr">
        <is>
          <t>C2</t>
        </is>
      </c>
      <c r="N349" t="inlineStr"/>
      <c r="O349" t="inlineStr">
        <is>
          <t>Bhubaneswar; India; Odisha</t>
        </is>
      </c>
      <c r="P349" t="inlineStr">
        <is>
          <t>South Asia</t>
        </is>
      </c>
      <c r="Q349" t="inlineStr">
        <is>
          <t>Y</t>
        </is>
      </c>
      <c r="R349" t="inlineStr"/>
      <c r="S349" t="inlineStr"/>
      <c r="T349" t="inlineStr">
        <is>
          <t>unclear</t>
        </is>
      </c>
      <c r="U349" t="inlineStr"/>
      <c r="V349" t="inlineStr"/>
      <c r="W349" t="inlineStr">
        <is>
          <t>auto: La numérisation de la gouvernance urbaine en Inde : plateformes, processus et personnes, à Bhubaneswar Au cours de la dernière décennie, le gouvernement indien a introduit des programmes qui revigorent l'utilisation des technologies numériques pour conduire la réforme de la gouvernance.</t>
        </is>
      </c>
      <c r="X349" t="inlineStr"/>
      <c r="Y349" t="inlineStr"/>
      <c r="Z349" t="inlineStr">
        <is>
          <t>medium</t>
        </is>
      </c>
      <c r="AA349" t="inlineStr">
        <is>
          <t>C2:india; C2:recent</t>
        </is>
      </c>
      <c r="AB349" t="inlineStr"/>
    </row>
    <row r="350">
      <c r="A350" t="inlineStr">
        <is>
          <t>LM00349</t>
        </is>
      </c>
      <c r="B350" t="inlineStr">
        <is>
          <t>Delivering food, navigating stigma: the social experience of gig workers in urban India</t>
        </is>
      </c>
      <c r="C350" t="n">
        <v>2026</v>
      </c>
      <c r="D350" t="inlineStr">
        <is>
          <t>Mohammad Sajjad Hussain</t>
        </is>
      </c>
      <c r="E350" t="inlineStr">
        <is>
          <t>Labor History</t>
        </is>
      </c>
      <c r="F350" t="inlineStr">
        <is>
          <t>article</t>
        </is>
      </c>
      <c r="G350" t="inlineStr">
        <is>
          <t>10.1080/0023656x.2026.2661746</t>
        </is>
      </c>
      <c r="H350" t="inlineStr">
        <is>
          <t>W7154984835</t>
        </is>
      </c>
      <c r="I350" t="inlineStr">
        <is>
          <t>https://doi.org/10.1080/0023656x.2026.2661746</t>
        </is>
      </c>
      <c r="J350" t="inlineStr"/>
      <c r="K350" t="n">
        <v>0</v>
      </c>
      <c r="L350" t="inlineStr">
        <is>
          <t>C</t>
        </is>
      </c>
      <c r="M350" t="inlineStr">
        <is>
          <t>C2</t>
        </is>
      </c>
      <c r="N350" t="inlineStr"/>
      <c r="O350" t="inlineStr">
        <is>
          <t>Hyderabad; India</t>
        </is>
      </c>
      <c r="P350" t="inlineStr">
        <is>
          <t>South Asia</t>
        </is>
      </c>
      <c r="Q350" t="inlineStr">
        <is>
          <t>Y</t>
        </is>
      </c>
      <c r="R350" t="inlineStr"/>
      <c r="S350" t="inlineStr"/>
      <c r="T350" t="inlineStr">
        <is>
          <t>qualitative</t>
        </is>
      </c>
      <c r="U350" t="inlineStr"/>
      <c r="V350" t="inlineStr"/>
      <c r="W350" t="inlineStr">
        <is>
          <t>auto: Drawing on 25 months of ethnographic fieldwork in Hyderabad (India), including being a delivery worker, this article examines how stigma is produced, felt, and navigated by the delivery workers in the platformized food delivery ecosystem.</t>
        </is>
      </c>
      <c r="X350" t="inlineStr"/>
      <c r="Y350" t="inlineStr"/>
      <c r="Z350" t="inlineStr">
        <is>
          <t>medium</t>
        </is>
      </c>
      <c r="AA350" t="inlineStr">
        <is>
          <t>C2:india</t>
        </is>
      </c>
      <c r="AB350" t="inlineStr">
        <is>
          <t>W7159795220; W7160061079</t>
        </is>
      </c>
      <c r="AC350" t="n">
        <v>0</v>
      </c>
    </row>
    <row r="351">
      <c r="A351" t="inlineStr">
        <is>
          <t>LM00350</t>
        </is>
      </c>
      <c r="B351" t="inlineStr">
        <is>
          <t>India's Shift to the Instant Service Economy: Platform Growth, Urban Consumption, and Socioeconomic Impact</t>
        </is>
      </c>
      <c r="C351" t="n">
        <v>2026</v>
      </c>
      <c r="D351" t="inlineStr">
        <is>
          <t>Myra Abhishek Chamaria</t>
        </is>
      </c>
      <c r="E351" t="inlineStr">
        <is>
          <t>International Journal of Science and Research (IJSR)</t>
        </is>
      </c>
      <c r="F351" t="inlineStr">
        <is>
          <t>article</t>
        </is>
      </c>
      <c r="G351" t="inlineStr">
        <is>
          <t>10.21275/sr26415114702</t>
        </is>
      </c>
      <c r="H351" t="inlineStr">
        <is>
          <t>W7154996303</t>
        </is>
      </c>
      <c r="I351" t="inlineStr">
        <is>
          <t>https://doi.org/10.21275/sr26415114702</t>
        </is>
      </c>
      <c r="J351" t="inlineStr">
        <is>
          <t>https://www.ijsr.net/archive/v15i4/SR26415114702.pdf</t>
        </is>
      </c>
      <c r="K351" t="n">
        <v>0</v>
      </c>
      <c r="L351" t="inlineStr">
        <is>
          <t>C</t>
        </is>
      </c>
      <c r="M351" t="inlineStr">
        <is>
          <t>C2</t>
        </is>
      </c>
      <c r="N351" t="inlineStr"/>
      <c r="O351" t="inlineStr">
        <is>
          <t>India</t>
        </is>
      </c>
      <c r="P351" t="inlineStr">
        <is>
          <t>South Asia</t>
        </is>
      </c>
      <c r="Q351" t="inlineStr">
        <is>
          <t>Y</t>
        </is>
      </c>
      <c r="R351" t="inlineStr"/>
      <c r="S351" t="inlineStr"/>
      <c r="T351" t="inlineStr">
        <is>
          <t>qualitative</t>
        </is>
      </c>
      <c r="U351" t="inlineStr"/>
      <c r="V351" t="inlineStr"/>
      <c r="W351" t="inlineStr">
        <is>
          <t>auto: This study examines the rapid emergence of the instant service economy in urban India, driven by digital platforms offering rapid delivery and on-demand services.</t>
        </is>
      </c>
      <c r="X351" t="inlineStr"/>
      <c r="Y351" t="inlineStr"/>
      <c r="Z351" t="inlineStr">
        <is>
          <t>high</t>
        </is>
      </c>
      <c r="AA351" t="inlineStr">
        <is>
          <t>C2:india</t>
        </is>
      </c>
      <c r="AB351" t="inlineStr"/>
      <c r="AC351" t="n">
        <v>0</v>
      </c>
    </row>
    <row r="352">
      <c r="A352" t="inlineStr">
        <is>
          <t>LM00351</t>
        </is>
      </c>
      <c r="B352" t="inlineStr">
        <is>
          <t>Spaces of Urban Platformisation</t>
        </is>
      </c>
      <c r="C352" t="n">
        <v>2026</v>
      </c>
      <c r="D352" t="inlineStr">
        <is>
          <t>Rabea Berfelde</t>
        </is>
      </c>
      <c r="E352" t="inlineStr">
        <is>
          <t>Routledge eBooks</t>
        </is>
      </c>
      <c r="F352" t="inlineStr">
        <is>
          <t>book</t>
        </is>
      </c>
      <c r="G352" t="inlineStr">
        <is>
          <t>10.4324/9781003741985</t>
        </is>
      </c>
      <c r="H352" t="inlineStr">
        <is>
          <t>W7155501689</t>
        </is>
      </c>
      <c r="I352" t="inlineStr">
        <is>
          <t>https://doi.org/10.4324/9781003741985</t>
        </is>
      </c>
      <c r="J352" t="inlineStr"/>
      <c r="K352" t="n">
        <v>0</v>
      </c>
      <c r="L352" t="inlineStr">
        <is>
          <t>C</t>
        </is>
      </c>
      <c r="M352" t="inlineStr">
        <is>
          <t>C2</t>
        </is>
      </c>
      <c r="N352" t="inlineStr"/>
      <c r="O352" t="inlineStr">
        <is>
          <t>Berlin</t>
        </is>
      </c>
      <c r="P352" t="inlineStr">
        <is>
          <t>Global North</t>
        </is>
      </c>
      <c r="Q352" t="inlineStr"/>
      <c r="R352" t="inlineStr"/>
      <c r="S352" t="inlineStr"/>
      <c r="T352" t="inlineStr">
        <is>
          <t>qualitative</t>
        </is>
      </c>
      <c r="U352" t="inlineStr"/>
      <c r="V352" t="inlineStr"/>
      <c r="W352" t="inlineStr">
        <is>
          <t>auto: This book uses Berlin as a pivotal case study to analyse the transformation of urban spaces under the combined influences of financialisation and platformisation.</t>
        </is>
      </c>
      <c r="X352" t="inlineStr"/>
      <c r="Y352" t="inlineStr"/>
      <c r="Z352" t="inlineStr">
        <is>
          <t>high</t>
        </is>
      </c>
      <c r="AA352" t="inlineStr">
        <is>
          <t>C2:recent</t>
        </is>
      </c>
      <c r="AB352" t="inlineStr"/>
      <c r="AC352" t="n">
        <v>0</v>
      </c>
    </row>
    <row r="353">
      <c r="A353" t="inlineStr">
        <is>
          <t>LM00352</t>
        </is>
      </c>
      <c r="B353" t="inlineStr">
        <is>
          <t>Decent Work, Inclusion, and Growth in Gig Workers of India: The Viksit Bharat Vision</t>
        </is>
      </c>
      <c r="C353" t="n">
        <v>2026</v>
      </c>
      <c r="D353" t="inlineStr">
        <is>
          <t>Naynith Nitesh Rathod; Yuvraj Singh Kimtee; Dikshit Jain; Kishan T Patel</t>
        </is>
      </c>
      <c r="E353" t="inlineStr">
        <is>
          <t>JOURNAL OF ADVANCE AND FUTURE RESEARCH</t>
        </is>
      </c>
      <c r="F353" t="inlineStr">
        <is>
          <t>article</t>
        </is>
      </c>
      <c r="G353" t="inlineStr">
        <is>
          <t>10.56975/jaafr.v4i4.508663</t>
        </is>
      </c>
      <c r="H353" t="inlineStr">
        <is>
          <t>W7160600572</t>
        </is>
      </c>
      <c r="I353" t="inlineStr">
        <is>
          <t>https://doi.org/10.56975/jaafr.v4i4.508663</t>
        </is>
      </c>
      <c r="J353" t="inlineStr">
        <is>
          <t>https://rjwave.org/jaafr/papers/JAAFR26A4775.pdf</t>
        </is>
      </c>
      <c r="K353" t="n">
        <v>0</v>
      </c>
      <c r="L353" t="inlineStr">
        <is>
          <t>C</t>
        </is>
      </c>
      <c r="M353" t="inlineStr">
        <is>
          <t>C2</t>
        </is>
      </c>
      <c r="N353" t="inlineStr"/>
      <c r="O353" t="inlineStr">
        <is>
          <t>India</t>
        </is>
      </c>
      <c r="P353" t="inlineStr">
        <is>
          <t>South Asia</t>
        </is>
      </c>
      <c r="Q353" t="inlineStr">
        <is>
          <t>Y</t>
        </is>
      </c>
      <c r="R353" t="inlineStr"/>
      <c r="S353" t="inlineStr"/>
      <c r="T353" t="inlineStr">
        <is>
          <t>unclear</t>
        </is>
      </c>
      <c r="U353" t="inlineStr"/>
      <c r="V353" t="inlineStr"/>
      <c r="W353" t="inlineStr">
        <is>
          <t>auto: This study focuses on the Indian gig workforce by analysing twenty key research papers, policy reports, and institutional studies.</t>
        </is>
      </c>
      <c r="X353" t="inlineStr">
        <is>
          <t>auto: Despite the recognition of gig workers under the Social Security Code(2020), implementation gaps remain significant.</t>
        </is>
      </c>
      <c r="Y353" t="inlineStr"/>
      <c r="Z353" t="inlineStr">
        <is>
          <t>high</t>
        </is>
      </c>
      <c r="AA353" t="inlineStr">
        <is>
          <t>C2:india</t>
        </is>
      </c>
      <c r="AB353" t="inlineStr"/>
      <c r="AC353" t="n">
        <v>0</v>
      </c>
    </row>
    <row r="354">
      <c r="A354" t="inlineStr">
        <is>
          <t>LM00353</t>
        </is>
      </c>
      <c r="B354" t="inlineStr">
        <is>
          <t>Digital platforms for micro and small enterprises in India: performance, future of work and sustainability implications</t>
        </is>
      </c>
      <c r="C354" t="n">
        <v>2026</v>
      </c>
      <c r="D354" t="inlineStr">
        <is>
          <t>Sumesh P. Soman; Bino Paul G. D.; Unmesh Patnaik; Kamal Kumar Murari</t>
        </is>
      </c>
      <c r="E354" t="inlineStr">
        <is>
          <t>International Journal of Productivity and Performance Management</t>
        </is>
      </c>
      <c r="F354" t="inlineStr">
        <is>
          <t>article</t>
        </is>
      </c>
      <c r="G354" t="inlineStr">
        <is>
          <t>10.1108/ijppm-11-2024-0785</t>
        </is>
      </c>
      <c r="H354" t="inlineStr">
        <is>
          <t>W7162301726</t>
        </is>
      </c>
      <c r="I354" t="inlineStr">
        <is>
          <t>https://doi.org/10.1108/ijppm-11-2024-0785</t>
        </is>
      </c>
      <c r="J354" t="inlineStr"/>
      <c r="K354" t="n">
        <v>0</v>
      </c>
      <c r="L354" t="inlineStr">
        <is>
          <t>C</t>
        </is>
      </c>
      <c r="M354" t="inlineStr">
        <is>
          <t>C2</t>
        </is>
      </c>
      <c r="N354" t="inlineStr"/>
      <c r="O354" t="inlineStr">
        <is>
          <t>India</t>
        </is>
      </c>
      <c r="P354" t="inlineStr">
        <is>
          <t>South Asia</t>
        </is>
      </c>
      <c r="Q354" t="inlineStr">
        <is>
          <t>Y</t>
        </is>
      </c>
      <c r="R354" t="inlineStr"/>
      <c r="S354" t="inlineStr"/>
      <c r="T354" t="inlineStr">
        <is>
          <t>mixed</t>
        </is>
      </c>
      <c r="U354" t="inlineStr"/>
      <c r="V354" t="inlineStr"/>
      <c r="W354" t="inlineStr">
        <is>
          <t>auto: Purpose This article explores the transformative impact of digital platforms on micro and small enterprises (MSEs), emphasizing their role in enhancing performance, shaping the future of work (FoW) and contributing to sustainability.</t>
        </is>
      </c>
      <c r="X354" t="inlineStr"/>
      <c r="Y354" t="inlineStr"/>
      <c r="Z354" t="inlineStr">
        <is>
          <t>high</t>
        </is>
      </c>
      <c r="AA354" t="inlineStr">
        <is>
          <t>C2:india</t>
        </is>
      </c>
      <c r="AB354" t="inlineStr"/>
      <c r="AC354" t="n">
        <v>0</v>
      </c>
    </row>
    <row r="355">
      <c r="A355" t="inlineStr">
        <is>
          <t>LM00354</t>
        </is>
      </c>
      <c r="B355" t="inlineStr">
        <is>
          <t>The Platformisation of Performance Traditions: Archiving Nachni Performances on Digital Platforms and the Parallel Economy of YouTubers in Purulia, West Bengal</t>
        </is>
      </c>
      <c r="C355" t="n">
        <v>2026</v>
      </c>
      <c r="D355" t="inlineStr">
        <is>
          <t>Sudatta Ghosh</t>
        </is>
      </c>
      <c r="E355" t="inlineStr"/>
      <c r="F355" t="inlineStr">
        <is>
          <t>article</t>
        </is>
      </c>
      <c r="G355" t="inlineStr">
        <is>
          <t>10.1177/23477989261446784</t>
        </is>
      </c>
      <c r="H355" t="inlineStr">
        <is>
          <t>W7162469001</t>
        </is>
      </c>
      <c r="I355" t="inlineStr">
        <is>
          <t>https://doi.org/10.1177/23477989261446784</t>
        </is>
      </c>
      <c r="J355" t="inlineStr">
        <is>
          <t>https://doi.org/10.1177/23477989261446784</t>
        </is>
      </c>
      <c r="K355" t="n">
        <v>0</v>
      </c>
      <c r="L355" t="inlineStr">
        <is>
          <t>C</t>
        </is>
      </c>
      <c r="M355" t="inlineStr">
        <is>
          <t>C2</t>
        </is>
      </c>
      <c r="N355" t="inlineStr"/>
      <c r="O355" t="inlineStr">
        <is>
          <t>India; West Bengal</t>
        </is>
      </c>
      <c r="P355" t="inlineStr">
        <is>
          <t>South Asia</t>
        </is>
      </c>
      <c r="Q355" t="inlineStr">
        <is>
          <t>Y</t>
        </is>
      </c>
      <c r="R355" t="inlineStr"/>
      <c r="S355" t="inlineStr"/>
      <c r="T355" t="inlineStr">
        <is>
          <t>qualitative</t>
        </is>
      </c>
      <c r="U355" t="inlineStr"/>
      <c r="V355" t="inlineStr"/>
      <c r="W355" t="inlineStr">
        <is>
          <t>auto: This article explores the parallel economy of YouTubers in Purulia, West Bengal, which has emerged alongside the platformisation of the nachni performance tradition.</t>
        </is>
      </c>
      <c r="X355" t="inlineStr"/>
      <c r="Y355" t="inlineStr"/>
      <c r="Z355" t="inlineStr">
        <is>
          <t>high</t>
        </is>
      </c>
      <c r="AA355" t="inlineStr">
        <is>
          <t>C2:india</t>
        </is>
      </c>
      <c r="AB355" t="inlineStr"/>
      <c r="AC355" t="n">
        <v>0</v>
      </c>
    </row>
    <row r="356">
      <c r="A356" t="inlineStr">
        <is>
          <t>LM00355</t>
        </is>
      </c>
      <c r="B356" t="inlineStr">
        <is>
          <t>From unpaid care work to gig labour: Women and the platform economy in India</t>
        </is>
      </c>
      <c r="C356" t="n">
        <v>2026</v>
      </c>
      <c r="D356" t="inlineStr">
        <is>
          <t>Sushmitha BC; Sunitha V Ganiger</t>
        </is>
      </c>
      <c r="E356" t="inlineStr">
        <is>
          <t>International journal of applied research</t>
        </is>
      </c>
      <c r="F356" t="inlineStr">
        <is>
          <t>article</t>
        </is>
      </c>
      <c r="G356" t="inlineStr">
        <is>
          <t>10.22271/allresearch.2026.v12.i5d.13701</t>
        </is>
      </c>
      <c r="H356" t="inlineStr">
        <is>
          <t>W7162671924</t>
        </is>
      </c>
      <c r="I356" t="inlineStr">
        <is>
          <t>https://doi.org/10.22271/allresearch.2026.v12.i5d.13701</t>
        </is>
      </c>
      <c r="J356" t="inlineStr">
        <is>
          <t>https://www.allresearchjournal.com/archives/2026/vol12issue5/PartD/12-5-78-973.pdf</t>
        </is>
      </c>
      <c r="K356" t="n">
        <v>0</v>
      </c>
      <c r="L356" t="inlineStr">
        <is>
          <t>C</t>
        </is>
      </c>
      <c r="M356" t="inlineStr">
        <is>
          <t>C2</t>
        </is>
      </c>
      <c r="N356" t="inlineStr"/>
      <c r="O356" t="inlineStr">
        <is>
          <t>India</t>
        </is>
      </c>
      <c r="P356" t="inlineStr">
        <is>
          <t>South Asia</t>
        </is>
      </c>
      <c r="Q356" t="inlineStr">
        <is>
          <t>Y</t>
        </is>
      </c>
      <c r="R356" t="inlineStr"/>
      <c r="S356" t="inlineStr"/>
      <c r="T356" t="inlineStr">
        <is>
          <t>conceptual</t>
        </is>
      </c>
      <c r="U356" t="inlineStr"/>
      <c r="V356" t="inlineStr"/>
      <c r="W356" t="inlineStr">
        <is>
          <t>auto: This paper critically examines the socio-economic conditions of women engaged in India’s platform economy using secondary sources such as academic literature, policy reports, labour studies and feminist scholarship.</t>
        </is>
      </c>
      <c r="X356" t="inlineStr"/>
      <c r="Y356" t="inlineStr"/>
      <c r="Z356" t="inlineStr">
        <is>
          <t>medium</t>
        </is>
      </c>
      <c r="AA356" t="inlineStr">
        <is>
          <t>C2:india</t>
        </is>
      </c>
      <c r="AB356" t="inlineStr"/>
      <c r="AC356" t="n">
        <v>0</v>
      </c>
    </row>
    <row r="357">
      <c r="A357" t="inlineStr">
        <is>
          <t>LM00356</t>
        </is>
      </c>
      <c r="B357" t="inlineStr">
        <is>
          <t>Rethinking Platform Urbanization from the Perspective of Latin American Cities: Theoretical Insights and Empirical Contributions of Regional Research on Airbnb</t>
        </is>
      </c>
      <c r="C357" t="n">
        <v>2026</v>
      </c>
      <c r="D357" t="inlineStr">
        <is>
          <t>Pedro Henrique Cícero Ferreira; João Bosco Moura Tonucci Filho</t>
        </is>
      </c>
      <c r="E357" t="inlineStr">
        <is>
          <t>Revista Brasileira de Estudos Urbanos e Regionais</t>
        </is>
      </c>
      <c r="F357" t="inlineStr">
        <is>
          <t>article</t>
        </is>
      </c>
      <c r="G357" t="inlineStr">
        <is>
          <t>10.22296/2317-1529.rbeur.202613en</t>
        </is>
      </c>
      <c r="H357" t="inlineStr">
        <is>
          <t>W7164204273</t>
        </is>
      </c>
      <c r="I357" t="inlineStr">
        <is>
          <t>https://doi.org/10.22296/2317-1529.rbeur.202613en</t>
        </is>
      </c>
      <c r="J357" t="inlineStr">
        <is>
          <t>https://rbeur.anpur.org.br/rbeur/article/download/7951/5788</t>
        </is>
      </c>
      <c r="K357" t="n">
        <v>0</v>
      </c>
      <c r="L357" t="inlineStr">
        <is>
          <t>C</t>
        </is>
      </c>
      <c r="M357" t="inlineStr">
        <is>
          <t>C2</t>
        </is>
      </c>
      <c r="N357" t="inlineStr"/>
      <c r="O357" t="inlineStr">
        <is>
          <t>Argentina; Brazil; Chile; Latin America; Latin American</t>
        </is>
      </c>
      <c r="P357" t="inlineStr">
        <is>
          <t>Latin America</t>
        </is>
      </c>
      <c r="Q357" t="inlineStr"/>
      <c r="R357" t="inlineStr"/>
      <c r="S357" t="inlineStr"/>
      <c r="T357" t="inlineStr">
        <is>
          <t>review</t>
        </is>
      </c>
      <c r="U357" t="inlineStr"/>
      <c r="V357" t="inlineStr"/>
      <c r="W357" t="inlineStr">
        <is>
          <t>auto: This article combines bibliometric and content analyses of studies on Airbnb across Latin America, emphasizing regional urban theories in the study of platformization.</t>
        </is>
      </c>
      <c r="X357" t="inlineStr"/>
      <c r="Y357" t="inlineStr"/>
      <c r="Z357" t="inlineStr">
        <is>
          <t>high</t>
        </is>
      </c>
      <c r="AA357" t="inlineStr">
        <is>
          <t>C2:recent</t>
        </is>
      </c>
      <c r="AB357" t="inlineStr"/>
      <c r="AC357" t="n">
        <v>0</v>
      </c>
    </row>
    <row r="358">
      <c r="A358" t="inlineStr">
        <is>
          <t>LM00357</t>
        </is>
      </c>
      <c r="B358" t="inlineStr">
        <is>
          <t>Converging Platforms: Media, Precarity and Everyday Resistance among Urban Gig Workers – A Case Study of Delhi</t>
        </is>
      </c>
      <c r="C358" t="n">
        <v>2026</v>
      </c>
      <c r="D358" t="inlineStr">
        <is>
          <t>Jagriti Lamba; Anjan Sen</t>
        </is>
      </c>
      <c r="E358" t="inlineStr">
        <is>
          <t>International Journal of Research Publication and Reviews</t>
        </is>
      </c>
      <c r="F358" t="inlineStr">
        <is>
          <t>article</t>
        </is>
      </c>
      <c r="G358" t="inlineStr">
        <is>
          <t>10.55248/gengpi.07.0526.a1407</t>
        </is>
      </c>
      <c r="H358" t="inlineStr">
        <is>
          <t>W7164383969</t>
        </is>
      </c>
      <c r="I358" t="inlineStr">
        <is>
          <t>https://doi.org/10.55248/gengpi.07.0526.a1407</t>
        </is>
      </c>
      <c r="J358" t="inlineStr">
        <is>
          <t>https://doi.org/10.55248/gengpi.07.0526.a1407</t>
        </is>
      </c>
      <c r="K358" t="n">
        <v>0</v>
      </c>
      <c r="L358" t="inlineStr">
        <is>
          <t>C</t>
        </is>
      </c>
      <c r="M358" t="inlineStr">
        <is>
          <t>C2</t>
        </is>
      </c>
      <c r="N358" t="inlineStr"/>
      <c r="O358" t="inlineStr">
        <is>
          <t>Delhi; India; South Asian</t>
        </is>
      </c>
      <c r="P358" t="inlineStr">
        <is>
          <t>South Asia</t>
        </is>
      </c>
      <c r="Q358" t="inlineStr">
        <is>
          <t>Y</t>
        </is>
      </c>
      <c r="R358" t="inlineStr">
        <is>
          <t>Y</t>
        </is>
      </c>
      <c r="S358" t="inlineStr"/>
      <c r="T358" t="inlineStr">
        <is>
          <t>mixed</t>
        </is>
      </c>
      <c r="U358" t="inlineStr"/>
      <c r="V358" t="inlineStr"/>
      <c r="W358" t="inlineStr">
        <is>
          <t>auto: Digital Platform-mediated work has significantly impacted the urban labour market in terms of changing traditional flexible work arrangements and making them more precarious.This paper will examine how digital platforms algorithms and media practices have shaped working conditions for gig workers…</t>
        </is>
      </c>
      <c r="X358" t="inlineStr">
        <is>
          <t>auto: Digital Platform-mediated work has significantly impacted the urban labour market in terms of changing traditional flexible work arrangements and making them more precarious.This paper will examine how digital platforms algorithms and media practices have shaped working conditions for gig workers in Delhi/Delhi NCR (Delhi/National Capital Region).I used a convergent mixed-methods approach that included structured surveys, semi-structured interviews, ethnographic research and grounded theory c…</t>
        </is>
      </c>
      <c r="Y358" t="inlineStr"/>
      <c r="Z358" t="inlineStr">
        <is>
          <t>high</t>
        </is>
      </c>
      <c r="AA358" t="inlineStr">
        <is>
          <t>C2:india</t>
        </is>
      </c>
      <c r="AB358" t="inlineStr"/>
      <c r="AC358" t="n">
        <v>0</v>
      </c>
    </row>
    <row r="359">
      <c r="A359" t="inlineStr">
        <is>
          <t>LM00358</t>
        </is>
      </c>
      <c r="B359" t="inlineStr">
        <is>
          <t>Algorithmic Governance, Local Government Regulation, And Sustainable Labour Policy: A Structural Equation Modelling Approach To Gig Delivery Workers In South India</t>
        </is>
      </c>
      <c r="C359" t="n">
        <v>2026</v>
      </c>
      <c r="D359" t="inlineStr">
        <is>
          <t>R. Swathi Lakshmi, S. Manimaran, P.S.Venkateswaran</t>
        </is>
      </c>
      <c r="E359" t="inlineStr">
        <is>
          <t>Lex localis - Journal of Local Self-Government</t>
        </is>
      </c>
      <c r="F359" t="inlineStr">
        <is>
          <t>article</t>
        </is>
      </c>
      <c r="G359" t="inlineStr">
        <is>
          <t>10.52152/qz31mj32</t>
        </is>
      </c>
      <c r="H359" t="inlineStr">
        <is>
          <t>W7202174809</t>
        </is>
      </c>
      <c r="I359" t="inlineStr">
        <is>
          <t>https://doi.org/10.52152/qz31mj32</t>
        </is>
      </c>
      <c r="J359" t="inlineStr">
        <is>
          <t>https://lex-localis.org/index.php/LexLocalis/article/download/803995/3748</t>
        </is>
      </c>
      <c r="K359" t="n">
        <v>0</v>
      </c>
      <c r="L359" t="inlineStr">
        <is>
          <t>C</t>
        </is>
      </c>
      <c r="M359" t="inlineStr">
        <is>
          <t>C2</t>
        </is>
      </c>
      <c r="N359" t="inlineStr"/>
      <c r="O359" t="inlineStr">
        <is>
          <t>Chennai; India</t>
        </is>
      </c>
      <c r="P359" t="inlineStr">
        <is>
          <t>South Asia</t>
        </is>
      </c>
      <c r="Q359" t="inlineStr">
        <is>
          <t>Y</t>
        </is>
      </c>
      <c r="R359" t="inlineStr"/>
      <c r="S359" t="inlineStr"/>
      <c r="T359" t="inlineStr">
        <is>
          <t>quantitative</t>
        </is>
      </c>
      <c r="U359" t="inlineStr"/>
      <c r="V359" t="inlineStr"/>
      <c r="W359" t="inlineStr">
        <is>
          <t>auto: This study develops and validates a governance-oriented framework that examines the relationships among algorithmic governance, local government regulatory effectiveness, platform accountability, worker trust, and sustainable employment in the delivery gig sector in Chennai, India.</t>
        </is>
      </c>
      <c r="X359" t="inlineStr"/>
      <c r="Y359" t="inlineStr"/>
      <c r="Z359" t="inlineStr">
        <is>
          <t>high</t>
        </is>
      </c>
      <c r="AA359" t="inlineStr">
        <is>
          <t>C2:india</t>
        </is>
      </c>
      <c r="AB359" t="inlineStr"/>
      <c r="AC359" t="n">
        <v>0</v>
      </c>
    </row>
    <row r="360">
      <c r="A360" t="inlineStr">
        <is>
          <t>LM00359</t>
        </is>
      </c>
      <c r="B360" t="inlineStr">
        <is>
          <t>AN ANALYTICAL STUDY OF THE PROBLEMS AND CHALLENGES FACED BY GIG ECONOMY WORKERS AND THEIR IMPACT ON JOB SATISFACTION IN BANGALORE CITY</t>
        </is>
      </c>
      <c r="C360" t="n">
        <v>2026</v>
      </c>
      <c r="D360" t="inlineStr">
        <is>
          <t>Dr. Radhika.B</t>
        </is>
      </c>
      <c r="E360" t="inlineStr">
        <is>
          <t>INTERNATIONAL JOURNAL OF RESEARCH IN MANAGEMENT</t>
        </is>
      </c>
      <c r="F360" t="inlineStr">
        <is>
          <t>article</t>
        </is>
      </c>
      <c r="G360" t="inlineStr">
        <is>
          <t>10.5281/zenodo.21967239</t>
        </is>
      </c>
      <c r="H360" t="inlineStr">
        <is>
          <t>W7203723732</t>
        </is>
      </c>
      <c r="I360" t="inlineStr">
        <is>
          <t>https://doi.org/10.5281/zenodo.21967239</t>
        </is>
      </c>
      <c r="J360" t="inlineStr">
        <is>
          <t>https://doi.org/10.5281/zenodo.21967239</t>
        </is>
      </c>
      <c r="K360" t="n">
        <v>0</v>
      </c>
      <c r="L360" t="inlineStr">
        <is>
          <t>C</t>
        </is>
      </c>
      <c r="M360" t="inlineStr">
        <is>
          <t>C2</t>
        </is>
      </c>
      <c r="N360" t="inlineStr"/>
      <c r="O360" t="inlineStr">
        <is>
          <t>Bangalore</t>
        </is>
      </c>
      <c r="P360" t="inlineStr">
        <is>
          <t>South Asia</t>
        </is>
      </c>
      <c r="Q360" t="inlineStr">
        <is>
          <t>Y</t>
        </is>
      </c>
      <c r="R360" t="inlineStr"/>
      <c r="S360" t="inlineStr"/>
      <c r="T360" t="inlineStr">
        <is>
          <t>quantitative</t>
        </is>
      </c>
      <c r="U360" t="inlineStr"/>
      <c r="V360" t="inlineStr"/>
      <c r="W360" t="inlineStr">
        <is>
          <t>auto: Abstract: The gig economy has emerged as an important source of employment by providing flexible and accessible work opportunities through digital platforms.</t>
        </is>
      </c>
      <c r="X360" t="inlineStr"/>
      <c r="Y360" t="inlineStr"/>
      <c r="Z360" t="inlineStr">
        <is>
          <t>high</t>
        </is>
      </c>
      <c r="AA360" t="inlineStr">
        <is>
          <t>C2:india</t>
        </is>
      </c>
      <c r="AB360" t="inlineStr"/>
      <c r="AC360" t="n">
        <v>0</v>
      </c>
    </row>
    <row r="361">
      <c r="A361" t="inlineStr">
        <is>
          <t>LM00360</t>
        </is>
      </c>
      <c r="B361" t="inlineStr">
        <is>
          <t>From crisis to governmental fix: platformisation-as-negotiation in authoritarian Vietnam</t>
        </is>
      </c>
      <c r="C361" t="n">
        <v>2026</v>
      </c>
      <c r="D361" t="inlineStr">
        <is>
          <t>Marie Gibert‐Flutre</t>
        </is>
      </c>
      <c r="E361" t="inlineStr">
        <is>
          <t>Urban Geography</t>
        </is>
      </c>
      <c r="F361" t="inlineStr">
        <is>
          <t>article</t>
        </is>
      </c>
      <c r="G361" t="inlineStr">
        <is>
          <t>10.1080/02723638.2026.2724059</t>
        </is>
      </c>
      <c r="H361" t="inlineStr">
        <is>
          <t>W7204802596</t>
        </is>
      </c>
      <c r="I361" t="inlineStr">
        <is>
          <t>https://doi.org/10.1080/02723638.2026.2724059</t>
        </is>
      </c>
      <c r="J361" t="inlineStr"/>
      <c r="K361" t="n">
        <v>0</v>
      </c>
      <c r="L361" t="inlineStr">
        <is>
          <t>C</t>
        </is>
      </c>
      <c r="M361" t="inlineStr">
        <is>
          <t>C2</t>
        </is>
      </c>
      <c r="N361" t="inlineStr"/>
      <c r="O361" t="inlineStr">
        <is>
          <t>Ho Chi Minh City; Vietnam</t>
        </is>
      </c>
      <c r="P361" t="inlineStr">
        <is>
          <t>Southeast Asia</t>
        </is>
      </c>
      <c r="Q361" t="inlineStr"/>
      <c r="R361" t="inlineStr"/>
      <c r="S361" t="inlineStr"/>
      <c r="T361" t="inlineStr">
        <is>
          <t>qualitative</t>
        </is>
      </c>
      <c r="U361" t="inlineStr"/>
      <c r="V361" t="inlineStr"/>
      <c r="W361" t="inlineStr">
        <is>
          <t>auto: This article examines how ride-hailing platforms reshape urban governance in authoritarian contexts through the case of Grab in Vietnam.</t>
        </is>
      </c>
      <c r="X361" t="inlineStr"/>
      <c r="Y361" t="inlineStr"/>
      <c r="Z361" t="inlineStr">
        <is>
          <t>high</t>
        </is>
      </c>
      <c r="AA361" t="inlineStr">
        <is>
          <t>C2:recent</t>
        </is>
      </c>
      <c r="AB361" t="inlineStr"/>
      <c r="AC361" t="n">
        <v>0</v>
      </c>
    </row>
    <row r="362">
      <c r="A362" t="inlineStr">
        <is>
          <t>LM00361</t>
        </is>
      </c>
      <c r="B362" t="inlineStr">
        <is>
          <t>Learning from the Margin in Platform Urbanism</t>
        </is>
      </c>
      <c r="C362" t="n">
        <v>2026</v>
      </c>
      <c r="D362" t="inlineStr">
        <is>
          <t>Tooran Alizadeh; Deepti Prasad</t>
        </is>
      </c>
      <c r="E362" t="inlineStr">
        <is>
          <t>Routledge eBooks</t>
        </is>
      </c>
      <c r="F362" t="inlineStr">
        <is>
          <t>book-chapter</t>
        </is>
      </c>
      <c r="G362" t="inlineStr">
        <is>
          <t>10.4324/9781003630333-33</t>
        </is>
      </c>
      <c r="H362" t="inlineStr">
        <is>
          <t>W7208794325</t>
        </is>
      </c>
      <c r="I362" t="inlineStr">
        <is>
          <t>https://doi.org/10.4324/9781003630333-33</t>
        </is>
      </c>
      <c r="J362" t="inlineStr"/>
      <c r="K362" t="n">
        <v>0</v>
      </c>
      <c r="L362" t="inlineStr">
        <is>
          <t>C</t>
        </is>
      </c>
      <c r="M362" t="inlineStr">
        <is>
          <t>C2</t>
        </is>
      </c>
      <c r="N362" t="inlineStr"/>
      <c r="O362" t="inlineStr">
        <is>
          <t>India</t>
        </is>
      </c>
      <c r="P362" t="inlineStr">
        <is>
          <t>South Asia</t>
        </is>
      </c>
      <c r="Q362" t="inlineStr">
        <is>
          <t>Y</t>
        </is>
      </c>
      <c r="R362" t="inlineStr"/>
      <c r="S362" t="inlineStr"/>
      <c r="T362" t="inlineStr">
        <is>
          <t>qualitative</t>
        </is>
      </c>
      <c r="U362" t="inlineStr"/>
      <c r="V362" t="inlineStr"/>
      <c r="W362" t="inlineStr">
        <is>
          <t>auto: The arguments in this chapter are informed by 25 interviews conducted with the civil society actors behind a variety of bottom-up platform urbanism in India.</t>
        </is>
      </c>
      <c r="X362" t="inlineStr"/>
      <c r="Y362" t="inlineStr"/>
      <c r="Z362" t="inlineStr">
        <is>
          <t>high</t>
        </is>
      </c>
      <c r="AA362" t="inlineStr">
        <is>
          <t>C2:india</t>
        </is>
      </c>
      <c r="AB362" t="inlineStr"/>
      <c r="AC362" t="n">
        <v>0</v>
      </c>
    </row>
    <row r="363">
      <c r="A363" t="inlineStr">
        <is>
          <t>LM00362</t>
        </is>
      </c>
      <c r="B363" t="inlineStr">
        <is>
          <t>Planning for platform urbanism</t>
        </is>
      </c>
      <c r="C363" t="n">
        <v>2026</v>
      </c>
      <c r="D363" t="inlineStr">
        <is>
          <t>Subina Shrestha</t>
        </is>
      </c>
      <c r="E363" t="inlineStr">
        <is>
          <t>plaNext - Next Generation Planning</t>
        </is>
      </c>
      <c r="F363" t="inlineStr">
        <is>
          <t>article</t>
        </is>
      </c>
      <c r="G363" t="inlineStr">
        <is>
          <t>10.24306/plnxt/130</t>
        </is>
      </c>
      <c r="H363" t="inlineStr">
        <is>
          <t>W7213176381</t>
        </is>
      </c>
      <c r="I363" t="inlineStr">
        <is>
          <t>https://doi.org/10.24306/plnxt/130</t>
        </is>
      </c>
      <c r="J363" t="inlineStr">
        <is>
          <t>https://doi.org/10.24306/plnxt/130</t>
        </is>
      </c>
      <c r="K363" t="n">
        <v>0</v>
      </c>
      <c r="L363" t="inlineStr">
        <is>
          <t>C</t>
        </is>
      </c>
      <c r="M363" t="inlineStr">
        <is>
          <t>C2</t>
        </is>
      </c>
      <c r="N363" t="inlineStr"/>
      <c r="O363" t="inlineStr">
        <is>
          <t>Canada</t>
        </is>
      </c>
      <c r="P363" t="inlineStr">
        <is>
          <t>Global North</t>
        </is>
      </c>
      <c r="Q363" t="inlineStr"/>
      <c r="R363" t="inlineStr"/>
      <c r="S363" t="inlineStr"/>
      <c r="T363" t="inlineStr">
        <is>
          <t>conceptual</t>
        </is>
      </c>
      <c r="U363" t="inlineStr"/>
      <c r="V363" t="inlineStr"/>
      <c r="W363" t="inlineStr">
        <is>
          <t>auto: Following this, I show where and how planning might intervene and argue for concerted efforts in anticipatory urban planning that (i) bridges the work/non-work dichotomy prevalent in contemporary planning processes and, (ii) meaningfully engages with mobile logistical workers towards creating inc…</t>
        </is>
      </c>
      <c r="X363" t="inlineStr"/>
      <c r="Y363" t="inlineStr"/>
      <c r="Z363" t="inlineStr">
        <is>
          <t>high</t>
        </is>
      </c>
      <c r="AA363" t="inlineStr">
        <is>
          <t>C2:recent</t>
        </is>
      </c>
      <c r="AB363" t="inlineStr"/>
      <c r="AC363" t="n">
        <v>0</v>
      </c>
    </row>
    <row r="364">
      <c r="A364" t="inlineStr">
        <is>
          <t>LM00363</t>
        </is>
      </c>
      <c r="B364" t="inlineStr">
        <is>
          <t>Accumulation by platformization: Digital platforms in urban space as a form of governance and enclosure</t>
        </is>
      </c>
      <c r="C364" t="n">
        <v>2026</v>
      </c>
      <c r="D364" t="inlineStr">
        <is>
          <t>Francisco Fernández-Trujillo Moares; Ana Santamarina; Jorge Sequera</t>
        </is>
      </c>
      <c r="E364" t="inlineStr">
        <is>
          <t>Digital Geography and Society</t>
        </is>
      </c>
      <c r="F364" t="inlineStr">
        <is>
          <t>article</t>
        </is>
      </c>
      <c r="G364" t="inlineStr">
        <is>
          <t>10.1016/j.diggeo.2026.100191</t>
        </is>
      </c>
      <c r="H364" t="inlineStr">
        <is>
          <t>W7213949144</t>
        </is>
      </c>
      <c r="I364" t="inlineStr">
        <is>
          <t>https://doi.org/10.1016/j.diggeo.2026.100191</t>
        </is>
      </c>
      <c r="J364" t="inlineStr">
        <is>
          <t>https://doi.org/10.1016/j.diggeo.2026.100191</t>
        </is>
      </c>
      <c r="K364" t="n">
        <v>0</v>
      </c>
      <c r="L364" t="inlineStr">
        <is>
          <t>C</t>
        </is>
      </c>
      <c r="M364" t="inlineStr">
        <is>
          <t>C2</t>
        </is>
      </c>
      <c r="N364" t="inlineStr"/>
      <c r="O364" t="inlineStr"/>
      <c r="P364" t="inlineStr">
        <is>
          <t>Not place-specific</t>
        </is>
      </c>
      <c r="Q364" t="inlineStr"/>
      <c r="R364" t="inlineStr"/>
      <c r="S364" t="inlineStr"/>
      <c r="T364" t="inlineStr">
        <is>
          <t>conceptual</t>
        </is>
      </c>
      <c r="U364" t="inlineStr"/>
      <c r="V364" t="inlineStr"/>
      <c r="W364" t="inlineStr">
        <is>
          <t>auto: This text introduces the Special Issue The Emergence of Digital Platforms in Urban Space, proposing the concept of accumulation by platformization as a framework for understanding the structural transformation of urban life under platform capitalism.</t>
        </is>
      </c>
      <c r="X364" t="inlineStr"/>
      <c r="Y364" t="inlineStr"/>
      <c r="Z364" t="inlineStr">
        <is>
          <t>high</t>
        </is>
      </c>
      <c r="AA364" t="inlineStr">
        <is>
          <t>C2:recent</t>
        </is>
      </c>
      <c r="AB364" t="inlineStr"/>
      <c r="AC364" t="n">
        <v>0</v>
      </c>
    </row>
    <row r="365">
      <c r="A365" t="inlineStr">
        <is>
          <t>LM00364</t>
        </is>
      </c>
      <c r="B365" t="inlineStr">
        <is>
          <t>From Informal Labour to Digital Platforms: The Sustainability of Assam's Emerging Gig Economy</t>
        </is>
      </c>
      <c r="C365" t="n">
        <v>2026</v>
      </c>
      <c r="D365" t="inlineStr">
        <is>
          <t>Arabinda Medhi</t>
        </is>
      </c>
      <c r="E365" t="inlineStr">
        <is>
          <t>International Journal For Multidisciplinary Research</t>
        </is>
      </c>
      <c r="F365" t="inlineStr">
        <is>
          <t>article</t>
        </is>
      </c>
      <c r="G365" t="inlineStr">
        <is>
          <t>10.36948/ijfmr.2026.v08i05.88764</t>
        </is>
      </c>
      <c r="H365" t="inlineStr">
        <is>
          <t>W7214944612</t>
        </is>
      </c>
      <c r="I365" t="inlineStr">
        <is>
          <t>https://doi.org/10.36948/ijfmr.2026.v08i05.88764</t>
        </is>
      </c>
      <c r="J365" t="inlineStr">
        <is>
          <t>https://www.ijfmr.com/papers/2026/5/88764.pdf</t>
        </is>
      </c>
      <c r="K365" t="n">
        <v>0</v>
      </c>
      <c r="L365" t="inlineStr">
        <is>
          <t>C</t>
        </is>
      </c>
      <c r="M365" t="inlineStr">
        <is>
          <t>C2</t>
        </is>
      </c>
      <c r="N365" t="inlineStr"/>
      <c r="O365" t="inlineStr">
        <is>
          <t>Assam; India</t>
        </is>
      </c>
      <c r="P365" t="inlineStr">
        <is>
          <t>South Asia</t>
        </is>
      </c>
      <c r="Q365" t="inlineStr">
        <is>
          <t>Y</t>
        </is>
      </c>
      <c r="R365" t="inlineStr"/>
      <c r="S365" t="inlineStr"/>
      <c r="T365" t="inlineStr">
        <is>
          <t>conceptual</t>
        </is>
      </c>
      <c r="U365" t="inlineStr"/>
      <c r="V365" t="inlineStr"/>
      <c r="W365" t="inlineStr">
        <is>
          <t>auto: This paper critically examines the opportunities and structural challenges characterising the gig economy in Assam, a region traditionally dominated by agriculture and informal labour.</t>
        </is>
      </c>
      <c r="X365" t="inlineStr">
        <is>
          <t>auto: In Assam, the growth of gig work is hampered by persistent challenges, including inadequate digital infrastructure in semi-urban and rural areas (Bezbarua, 2020), earnings volatility, lack of social safety nets, and algorithmic control by platform aggregators (Joshi, 2022; Saxena, 2021).</t>
        </is>
      </c>
      <c r="Y365" t="inlineStr"/>
      <c r="Z365" t="inlineStr">
        <is>
          <t>high</t>
        </is>
      </c>
      <c r="AA365" t="inlineStr">
        <is>
          <t>C2:india</t>
        </is>
      </c>
      <c r="AB365" t="inlineStr"/>
      <c r="AC365" t="n">
        <v>0</v>
      </c>
    </row>
    <row r="366">
      <c r="A366" t="inlineStr">
        <is>
          <t>LM00365</t>
        </is>
      </c>
      <c r="B366" t="inlineStr">
        <is>
          <t>The Mental Health Toll of Gig Work in Pakistan: A Structural Equation Modeling Analysis of Work Intensity, Financial Uncertainty, And Algorithmic Control</t>
        </is>
      </c>
      <c r="C366" t="n">
        <v>2026</v>
      </c>
      <c r="D366" t="inlineStr">
        <is>
          <t>Muhammad Hamza; Dr. Zahida Llyas; Majid Ali; Dr. Nasir Mahmood; Temoor Anjum</t>
        </is>
      </c>
      <c r="E366" t="inlineStr">
        <is>
          <t>Journal of Management &amp; Social Science</t>
        </is>
      </c>
      <c r="F366" t="inlineStr">
        <is>
          <t>article</t>
        </is>
      </c>
      <c r="G366" t="inlineStr">
        <is>
          <t>10.63075/vhgmg213</t>
        </is>
      </c>
      <c r="H366" t="inlineStr">
        <is>
          <t>W7216267893</t>
        </is>
      </c>
      <c r="I366" t="inlineStr">
        <is>
          <t>https://doi.org/10.63075/vhgmg213</t>
        </is>
      </c>
      <c r="J366" t="inlineStr">
        <is>
          <t>https://rjmssjournal.com/index.php/7/article/download/466/440</t>
        </is>
      </c>
      <c r="K366" t="n">
        <v>0</v>
      </c>
      <c r="L366" t="inlineStr">
        <is>
          <t>C</t>
        </is>
      </c>
      <c r="M366" t="inlineStr">
        <is>
          <t>C2</t>
        </is>
      </c>
      <c r="N366" t="inlineStr"/>
      <c r="O366" t="inlineStr">
        <is>
          <t>Pakistan</t>
        </is>
      </c>
      <c r="P366" t="inlineStr">
        <is>
          <t>South Asia</t>
        </is>
      </c>
      <c r="Q366" t="inlineStr"/>
      <c r="R366" t="inlineStr"/>
      <c r="S366" t="inlineStr"/>
      <c r="T366" t="inlineStr">
        <is>
          <t>quantitative</t>
        </is>
      </c>
      <c r="U366" t="inlineStr"/>
      <c r="V366" t="inlineStr"/>
      <c r="W366" t="inlineStr">
        <is>
          <t>auto: This research explores the factors of mental health in gig workers by looking at the effects of work intensity, financial uncertainty, algorithmic control, and social hiding.</t>
        </is>
      </c>
      <c r="X366" t="inlineStr">
        <is>
          <t>auto: Purpose: The high rate of growth of the gig economy in Pakistan has changed labor markets; however, there is a lack of knowledge about the psychological effects of workers.</t>
        </is>
      </c>
      <c r="Y366" t="inlineStr"/>
      <c r="Z366" t="inlineStr">
        <is>
          <t>high</t>
        </is>
      </c>
      <c r="AA366" t="inlineStr">
        <is>
          <t>C2:india</t>
        </is>
      </c>
      <c r="AB366" t="inlineStr"/>
      <c r="AC366" t="n">
        <v>0</v>
      </c>
    </row>
    <row r="367">
      <c r="A367" t="inlineStr">
        <is>
          <t>LM00366</t>
        </is>
      </c>
      <c r="B367" t="inlineStr">
        <is>
          <t>Platform Urbanism and the Fractal City: Deconstructing Gentrification, Megacity Hypertrophy, and the Algorithmic Periphery</t>
        </is>
      </c>
      <c r="C367" t="n">
        <v>2025</v>
      </c>
      <c r="D367" t="inlineStr">
        <is>
          <t>Revista, Zen; GEOGRAPHY, 10</t>
        </is>
      </c>
      <c r="E367" t="inlineStr">
        <is>
          <t>Zenodo (CERN European Organization for Nuclear Research)</t>
        </is>
      </c>
      <c r="F367" t="inlineStr">
        <is>
          <t>article</t>
        </is>
      </c>
      <c r="G367" t="inlineStr">
        <is>
          <t>10.5281/zenodo.17727212</t>
        </is>
      </c>
      <c r="H367" t="inlineStr">
        <is>
          <t>W7106823810</t>
        </is>
      </c>
      <c r="I367" t="inlineStr">
        <is>
          <t>https://doi.org/10.5281/zenodo.17727212</t>
        </is>
      </c>
      <c r="J367" t="inlineStr">
        <is>
          <t>https://doi.org/10.5281/zenodo.17727212</t>
        </is>
      </c>
      <c r="K367" t="n">
        <v>0</v>
      </c>
      <c r="L367" t="inlineStr">
        <is>
          <t>C</t>
        </is>
      </c>
      <c r="M367" t="inlineStr">
        <is>
          <t>C2</t>
        </is>
      </c>
      <c r="N367" t="inlineStr"/>
      <c r="O367" t="inlineStr"/>
      <c r="P367" t="inlineStr">
        <is>
          <t>Not place-specific</t>
        </is>
      </c>
      <c r="Q367" t="inlineStr"/>
      <c r="R367" t="inlineStr"/>
      <c r="S367" t="inlineStr"/>
      <c r="T367" t="inlineStr">
        <is>
          <t>qualitative</t>
        </is>
      </c>
      <c r="U367" t="inlineStr"/>
      <c r="V367" t="inlineStr"/>
      <c r="W367" t="inlineStr">
        <is>
          <t>auto: This paper critically examines the multifaceted impacts of platform urbanism on contemporary cities, proposing the concept of the "fractal city" as an analytical lens to understand its complex, self-similar, and often contradictory spatial manifestations.</t>
        </is>
      </c>
      <c r="X367" t="inlineStr"/>
      <c r="Y367" t="inlineStr"/>
      <c r="Z367" t="inlineStr">
        <is>
          <t>high</t>
        </is>
      </c>
      <c r="AA367" t="inlineStr">
        <is>
          <t>C2:recent</t>
        </is>
      </c>
      <c r="AB367" t="inlineStr"/>
      <c r="AC367" t="n">
        <v>0</v>
      </c>
    </row>
    <row r="368">
      <c r="A368" t="inlineStr">
        <is>
          <t>LM00367</t>
        </is>
      </c>
      <c r="B368" t="inlineStr">
        <is>
          <t>Fairwork India Ratings 2020:Labour Standards in the Gig Economy</t>
        </is>
      </c>
      <c r="C368" t="n">
        <v>2020</v>
      </c>
      <c r="D368" t="inlineStr">
        <is>
          <t>Parthasarathy, Balaji; Srinivasan, Janaki; Neerukonda, Mounika; Taduri, Pradyumna; Ustek-Spilda, Funda; Vadekkethil, Aradhana Cherupara; Graham, Mark; Heeks, Richard; id_orcid 0000-0002-4551-2208</t>
        </is>
      </c>
      <c r="E368" t="inlineStr">
        <is>
          <t>Research Explorer (The University of Manchester)</t>
        </is>
      </c>
      <c r="F368" t="inlineStr">
        <is>
          <t>other</t>
        </is>
      </c>
      <c r="G368" t="inlineStr"/>
      <c r="H368" t="inlineStr">
        <is>
          <t>W7111788257</t>
        </is>
      </c>
      <c r="I368" t="inlineStr">
        <is>
          <t>https://research.manchester.ac.uk/en/publications/620b35d7-b8b0-463e-b5fc-98cf9a345425</t>
        </is>
      </c>
      <c r="J368" t="inlineStr">
        <is>
          <t>https://pure.manchester.ac.uk/ws/files/226906805/Fairwork_India_2020_report.pdf</t>
        </is>
      </c>
      <c r="K368" t="n">
        <v>0</v>
      </c>
      <c r="L368" t="inlineStr">
        <is>
          <t>C</t>
        </is>
      </c>
      <c r="M368" t="inlineStr">
        <is>
          <t>C2</t>
        </is>
      </c>
      <c r="N368" t="inlineStr"/>
      <c r="O368" t="inlineStr">
        <is>
          <t>India</t>
        </is>
      </c>
      <c r="P368" t="inlineStr">
        <is>
          <t>South Asia</t>
        </is>
      </c>
      <c r="Q368" t="inlineStr">
        <is>
          <t>Y</t>
        </is>
      </c>
      <c r="R368" t="inlineStr"/>
      <c r="S368" t="inlineStr"/>
      <c r="T368" t="inlineStr">
        <is>
          <t>qualitative</t>
        </is>
      </c>
      <c r="U368" t="inlineStr"/>
      <c r="V368" t="inlineStr"/>
      <c r="W368" t="inlineStr">
        <is>
          <t>auto: Fairwork IndiaRatings 2020: Labour Standards in the Platform Economy This is the second year of scoring platforms using the Fairwork principles in India.Last year, twelve platforms, from sectors including ride-hailing, e-commerce, food-delivery, and home services, were scored.This year, eleven pl…</t>
        </is>
      </c>
      <c r="X368" t="inlineStr"/>
      <c r="Y368" t="inlineStr"/>
      <c r="Z368" t="inlineStr">
        <is>
          <t>high</t>
        </is>
      </c>
      <c r="AA368" t="inlineStr">
        <is>
          <t>C2:india</t>
        </is>
      </c>
      <c r="AB368" t="inlineStr"/>
    </row>
    <row r="369">
      <c r="A369" t="inlineStr">
        <is>
          <t>LM00368</t>
        </is>
      </c>
      <c r="B369" t="inlineStr">
        <is>
          <t>Exploring the Socio - Economic Conditions of Gig Workers in Hyderabad</t>
        </is>
      </c>
      <c r="C369" t="n">
        <v>2026</v>
      </c>
      <c r="D369" t="inlineStr">
        <is>
          <t>Dr. J. Ratna Prabhakar; Mrs. Chaviti Sai Vani</t>
        </is>
      </c>
      <c r="E369" t="inlineStr">
        <is>
          <t>Zenodo (CERN European Organization for Nuclear Research)</t>
        </is>
      </c>
      <c r="F369" t="inlineStr">
        <is>
          <t>article</t>
        </is>
      </c>
      <c r="G369" t="inlineStr">
        <is>
          <t>10.5281/zenodo.19555052</t>
        </is>
      </c>
      <c r="H369" t="inlineStr">
        <is>
          <t>W7154062576</t>
        </is>
      </c>
      <c r="I369" t="inlineStr">
        <is>
          <t>https://doi.org/10.5281/zenodo.19555052</t>
        </is>
      </c>
      <c r="J369" t="inlineStr">
        <is>
          <t>https://doi.org/10.5281/zenodo.19555052</t>
        </is>
      </c>
      <c r="K369" t="n">
        <v>0</v>
      </c>
      <c r="L369" t="inlineStr">
        <is>
          <t>C</t>
        </is>
      </c>
      <c r="M369" t="inlineStr">
        <is>
          <t>C2</t>
        </is>
      </c>
      <c r="N369" t="inlineStr"/>
      <c r="O369" t="inlineStr">
        <is>
          <t>Hyderabad</t>
        </is>
      </c>
      <c r="P369" t="inlineStr">
        <is>
          <t>South Asia</t>
        </is>
      </c>
      <c r="Q369" t="inlineStr">
        <is>
          <t>Y</t>
        </is>
      </c>
      <c r="R369" t="inlineStr"/>
      <c r="S369" t="inlineStr"/>
      <c r="T369" t="inlineStr">
        <is>
          <t>conceptual</t>
        </is>
      </c>
      <c r="U369" t="inlineStr"/>
      <c r="V369" t="inlineStr"/>
      <c r="W369" t="inlineStr">
        <is>
          <t>auto: This study examines the socio-economic conditions of gig workersin Hyderabad, highlighting their opportunities, challenges, and government initiatives.</t>
        </is>
      </c>
      <c r="X369" t="inlineStr">
        <is>
          <t>auto: The gig workforce in Hyderabad is mostly young people driven byfinancial need, unemployment, or lack of alternatives.</t>
        </is>
      </c>
      <c r="Y369" t="inlineStr"/>
      <c r="Z369" t="inlineStr">
        <is>
          <t>high</t>
        </is>
      </c>
      <c r="AA369" t="inlineStr">
        <is>
          <t>C2:india</t>
        </is>
      </c>
      <c r="AB369" t="inlineStr"/>
      <c r="AC369" t="n">
        <v>0</v>
      </c>
    </row>
    <row r="370">
      <c r="A370" t="inlineStr">
        <is>
          <t>LM00369</t>
        </is>
      </c>
      <c r="B370" t="inlineStr">
        <is>
          <t>GIG ECONOMY WORKERS AND LABOUR PROTECTION IN INDIA: REIMAGINING EMPLOYMENT RIGHTS IN THE DIGITAL AGE</t>
        </is>
      </c>
      <c r="C370" t="n">
        <v>2026</v>
      </c>
      <c r="D370" t="inlineStr">
        <is>
          <t>Taranbir Singh</t>
        </is>
      </c>
      <c r="E370" t="inlineStr">
        <is>
          <t>Zenodo (CERN European Organization for Nuclear Research)</t>
        </is>
      </c>
      <c r="F370" t="inlineStr">
        <is>
          <t>article</t>
        </is>
      </c>
      <c r="G370" t="inlineStr">
        <is>
          <t>10.5281/zenodo.21182395</t>
        </is>
      </c>
      <c r="H370" t="inlineStr">
        <is>
          <t>W7167247647</t>
        </is>
      </c>
      <c r="I370" t="inlineStr">
        <is>
          <t>https://doi.org/10.5281/zenodo.21182395</t>
        </is>
      </c>
      <c r="J370" t="inlineStr">
        <is>
          <t>https://doi.org/10.5281/zenodo.21182395</t>
        </is>
      </c>
      <c r="K370" t="n">
        <v>0</v>
      </c>
      <c r="L370" t="inlineStr">
        <is>
          <t>C</t>
        </is>
      </c>
      <c r="M370" t="inlineStr">
        <is>
          <t>C2</t>
        </is>
      </c>
      <c r="N370" t="inlineStr"/>
      <c r="O370" t="inlineStr">
        <is>
          <t>European; India; United Kingdom</t>
        </is>
      </c>
      <c r="P370" t="inlineStr">
        <is>
          <t>Multi-region</t>
        </is>
      </c>
      <c r="Q370" t="inlineStr">
        <is>
          <t>Y</t>
        </is>
      </c>
      <c r="R370" t="inlineStr"/>
      <c r="S370" t="inlineStr"/>
      <c r="T370" t="inlineStr">
        <is>
          <t>conceptual</t>
        </is>
      </c>
      <c r="U370" t="inlineStr"/>
      <c r="V370" t="inlineStr"/>
      <c r="W370" t="inlineStr">
        <is>
          <t>auto: The rise of the gig economy has become a defining element of India's digital economy, transforming conventional employment relations through its flexible, platform-based, and technologically enabled nature.</t>
        </is>
      </c>
      <c r="X370" t="inlineStr">
        <is>
          <t>auto: The current labour legislation system, which is primarily based on traditional employer-employee relationships, lacks sufficient legal provisions to govern work done via digital mediation and algorithmic control.</t>
        </is>
      </c>
      <c r="Y370" t="inlineStr"/>
      <c r="Z370" t="inlineStr">
        <is>
          <t>high</t>
        </is>
      </c>
      <c r="AA370" t="inlineStr">
        <is>
          <t>C2:india</t>
        </is>
      </c>
      <c r="AB370" t="inlineStr"/>
      <c r="AC370" t="n">
        <v>0</v>
      </c>
    </row>
    <row r="371">
      <c r="A371" t="inlineStr">
        <is>
          <t>LM00370</t>
        </is>
      </c>
      <c r="B371" t="inlineStr">
        <is>
          <t>Socio-Economic and Career Dynamics of Gig Economy Workers in Karnataka: A Conceptual Review of Platform-Based Employment</t>
        </is>
      </c>
      <c r="C371" t="n">
        <v>2026</v>
      </c>
      <c r="D371" t="inlineStr">
        <is>
          <t>Shetty, Praveena; Dr Ishwara P</t>
        </is>
      </c>
      <c r="E371" t="inlineStr">
        <is>
          <t>Zenodo (CERN European Organization for Nuclear Research)</t>
        </is>
      </c>
      <c r="F371" t="inlineStr">
        <is>
          <t>article</t>
        </is>
      </c>
      <c r="G371" t="inlineStr">
        <is>
          <t>10.5281/zenodo.21288329</t>
        </is>
      </c>
      <c r="H371" t="inlineStr">
        <is>
          <t>W7167923807</t>
        </is>
      </c>
      <c r="I371" t="inlineStr">
        <is>
          <t>https://doi.org/10.5281/zenodo.21288329</t>
        </is>
      </c>
      <c r="J371" t="inlineStr">
        <is>
          <t>https://doi.org/10.5281/zenodo.21288329</t>
        </is>
      </c>
      <c r="K371" t="n">
        <v>0</v>
      </c>
      <c r="L371" t="inlineStr">
        <is>
          <t>C</t>
        </is>
      </c>
      <c r="M371" t="inlineStr">
        <is>
          <t>C2</t>
        </is>
      </c>
      <c r="N371" t="inlineStr"/>
      <c r="O371" t="inlineStr">
        <is>
          <t>Bengaluru; Karnataka</t>
        </is>
      </c>
      <c r="P371" t="inlineStr">
        <is>
          <t>South Asia</t>
        </is>
      </c>
      <c r="Q371" t="inlineStr">
        <is>
          <t>Y</t>
        </is>
      </c>
      <c r="R371" t="inlineStr"/>
      <c r="S371" t="inlineStr"/>
      <c r="T371" t="inlineStr">
        <is>
          <t>review</t>
        </is>
      </c>
      <c r="U371" t="inlineStr"/>
      <c r="V371" t="inlineStr"/>
      <c r="W371" t="inlineStr">
        <is>
          <t>auto: Abstract The rise of the gig economy is a game-changing work trend in Karnataka, especially in its fast-growing cities like Bengaluru, which have seen a surge in flexible work arrangements enabled by digital platforms.</t>
        </is>
      </c>
      <c r="X371" t="inlineStr">
        <is>
          <t>auto: The results show that while gig work provides flexibility, independence and opportunities for earning income, it also creates income instability, lack of formal social security benefits and a lack of opportunities for long-term career progression.</t>
        </is>
      </c>
      <c r="Y371" t="inlineStr"/>
      <c r="Z371" t="inlineStr">
        <is>
          <t>high</t>
        </is>
      </c>
      <c r="AA371" t="inlineStr">
        <is>
          <t>C2:india</t>
        </is>
      </c>
      <c r="AB371" t="inlineStr"/>
      <c r="AC371" t="n">
        <v>0</v>
      </c>
    </row>
    <row r="372">
      <c r="A372" t="inlineStr">
        <is>
          <t>LM00371</t>
        </is>
      </c>
      <c r="B372" t="inlineStr">
        <is>
          <t>From subordination to freedom? An ethnography of Bangalore’s auto- rickshaw drivers and ride-hailing economy</t>
        </is>
      </c>
      <c r="C372" t="n">
        <v>2026</v>
      </c>
      <c r="D372" t="inlineStr">
        <is>
          <t>Shivani Daxini</t>
        </is>
      </c>
      <c r="E372" t="inlineStr">
        <is>
          <t>Durham e-Theses (Durham University)</t>
        </is>
      </c>
      <c r="F372" t="inlineStr">
        <is>
          <t>dissertation</t>
        </is>
      </c>
      <c r="G372" t="inlineStr"/>
      <c r="H372" t="inlineStr">
        <is>
          <t>W7203512664</t>
        </is>
      </c>
      <c r="I372" t="inlineStr">
        <is>
          <t>https://etheses.durham.ac.uk/id/eprint/16787/1/sdaxini%20PhD%20Thesis%20deposit.docx</t>
        </is>
      </c>
      <c r="J372" t="inlineStr"/>
      <c r="K372" t="n">
        <v>0</v>
      </c>
      <c r="L372" t="inlineStr">
        <is>
          <t>C</t>
        </is>
      </c>
      <c r="M372" t="inlineStr">
        <is>
          <t>C2</t>
        </is>
      </c>
      <c r="N372" t="inlineStr"/>
      <c r="O372" t="inlineStr">
        <is>
          <t>Bangalore; India</t>
        </is>
      </c>
      <c r="P372" t="inlineStr">
        <is>
          <t>South Asia</t>
        </is>
      </c>
      <c r="Q372" t="inlineStr">
        <is>
          <t>Y</t>
        </is>
      </c>
      <c r="R372" t="inlineStr"/>
      <c r="S372" t="inlineStr"/>
      <c r="T372" t="inlineStr">
        <is>
          <t>qualitative</t>
        </is>
      </c>
      <c r="U372" t="inlineStr"/>
      <c r="V372" t="inlineStr"/>
      <c r="W372" t="inlineStr">
        <is>
          <t>auto: Drawing from ethnographic fieldwork conducted between September 2023 and September 2024, during which I used the mobile ‘go-along’ method to interview drivers as we travelled around the city, I explore how my interlocutors used the Kannada word svantantrya (which drivers best translated as ‘freed…</t>
        </is>
      </c>
      <c r="X372" t="inlineStr"/>
      <c r="Y372" t="inlineStr"/>
      <c r="Z372" t="inlineStr">
        <is>
          <t>high</t>
        </is>
      </c>
      <c r="AA372" t="inlineStr">
        <is>
          <t>C2:india</t>
        </is>
      </c>
      <c r="AB372" t="inlineStr"/>
    </row>
    <row r="373">
      <c r="A373" t="inlineStr">
        <is>
          <t>LM00372</t>
        </is>
      </c>
      <c r="B373" t="inlineStr">
        <is>
          <t>Platformisation in Smaller Indian Cities: Informal Institutions, Labour and Technology Adoption in Urban Mobility</t>
        </is>
      </c>
      <c r="C373" t="n">
        <v>2026</v>
      </c>
      <c r="D373" t="inlineStr">
        <is>
          <t>Manan Singla</t>
        </is>
      </c>
      <c r="E373" t="inlineStr">
        <is>
          <t>Zenodo (CERN European Organization for Nuclear Research)</t>
        </is>
      </c>
      <c r="F373" t="inlineStr">
        <is>
          <t>article</t>
        </is>
      </c>
      <c r="G373" t="inlineStr">
        <is>
          <t>10.5281/zenodo.22656569</t>
        </is>
      </c>
      <c r="H373" t="inlineStr">
        <is>
          <t>W7211949094</t>
        </is>
      </c>
      <c r="I373" t="inlineStr">
        <is>
          <t>https://doi.org/10.5281/zenodo.22656569</t>
        </is>
      </c>
      <c r="J373" t="inlineStr">
        <is>
          <t>https://doi.org/10.5281/zenodo.22656569</t>
        </is>
      </c>
      <c r="K373" t="n">
        <v>0</v>
      </c>
      <c r="L373" t="inlineStr">
        <is>
          <t>C</t>
        </is>
      </c>
      <c r="M373" t="inlineStr">
        <is>
          <t>C2</t>
        </is>
      </c>
      <c r="N373" t="inlineStr"/>
      <c r="O373" t="inlineStr">
        <is>
          <t>Bengaluru; Delhi; India; Mumbai</t>
        </is>
      </c>
      <c r="P373" t="inlineStr">
        <is>
          <t>South Asia</t>
        </is>
      </c>
      <c r="Q373" t="inlineStr">
        <is>
          <t>Y</t>
        </is>
      </c>
      <c r="R373" t="inlineStr">
        <is>
          <t>Y</t>
        </is>
      </c>
      <c r="S373" t="inlineStr"/>
      <c r="T373" t="inlineStr">
        <is>
          <t>unclear</t>
        </is>
      </c>
      <c r="U373" t="inlineStr"/>
      <c r="V373" t="inlineStr"/>
      <c r="W373" t="inlineStr">
        <is>
          <t>auto: This paper draws together research on informal institutions, platform labour, algorithmic management, and transport governance to ask what happens when platform models built for large metropolitan markets are extended to smaller cities.</t>
        </is>
      </c>
      <c r="X373" t="inlineStr"/>
      <c r="Y373" t="inlineStr"/>
      <c r="Z373" t="inlineStr">
        <is>
          <t>high</t>
        </is>
      </c>
      <c r="AA373" t="inlineStr">
        <is>
          <t>C2:india; C2:recent</t>
        </is>
      </c>
      <c r="AB373" t="inlineStr"/>
      <c r="AC373" t="n">
        <v>0</v>
      </c>
    </row>
    <row r="374">
      <c r="A374" t="inlineStr">
        <is>
          <t>LM00373</t>
        </is>
      </c>
      <c r="B374" t="inlineStr">
        <is>
          <t>La plataformización como problema urbano: limitaciones y desafíos en la gobernanza de plataformas</t>
        </is>
      </c>
      <c r="C374" t="n">
        <v>2024</v>
      </c>
      <c r="D374" t="inlineStr">
        <is>
          <t>Patricio Feldman</t>
        </is>
      </c>
      <c r="E374" t="inlineStr">
        <is>
          <t>Vivienda y Ciudad</t>
        </is>
      </c>
      <c r="F374" t="inlineStr">
        <is>
          <t>article</t>
        </is>
      </c>
      <c r="G374" t="inlineStr"/>
      <c r="H374" t="inlineStr">
        <is>
          <t>W7217234418</t>
        </is>
      </c>
      <c r="I374" t="inlineStr">
        <is>
          <t>https://revistas.unc.edu.ar/index.php/ReViyCi/article/view/46374</t>
        </is>
      </c>
      <c r="J374" t="inlineStr">
        <is>
          <t>https://revistas.unc.edu.ar/index.php/ReViyCi/article/view/46374</t>
        </is>
      </c>
      <c r="K374" t="n">
        <v>0</v>
      </c>
      <c r="L374" t="inlineStr">
        <is>
          <t>C</t>
        </is>
      </c>
      <c r="M374" t="inlineStr">
        <is>
          <t>C2</t>
        </is>
      </c>
      <c r="N374" t="inlineStr"/>
      <c r="O374" t="inlineStr"/>
      <c r="P374" t="inlineStr">
        <is>
          <t>Not place-specific</t>
        </is>
      </c>
      <c r="Q374" t="inlineStr"/>
      <c r="R374" t="inlineStr"/>
      <c r="S374" t="inlineStr"/>
      <c r="T374" t="inlineStr">
        <is>
          <t>conceptual</t>
        </is>
      </c>
      <c r="U374" t="inlineStr"/>
      <c r="V374" t="inlineStr"/>
      <c r="W374" t="inlineStr">
        <is>
          <t>auto: This article deepens the particular analysis of platformization understood as an urban issue.</t>
        </is>
      </c>
      <c r="X374" t="inlineStr">
        <is>
          <t>auto: The study of platformization from an urban perspective, therefore, requires an approach to the issues, limitations, and challenges in the urban governance of platforms as a nodal topic of urban studies in the second half of the 21st century.</t>
        </is>
      </c>
      <c r="Y374" t="inlineStr"/>
      <c r="Z374" t="inlineStr">
        <is>
          <t>medium</t>
        </is>
      </c>
      <c r="AA374" t="inlineStr">
        <is>
          <t>C2:recent</t>
        </is>
      </c>
      <c r="AB374" t="inlineStr"/>
      <c r="AC374" t="n">
        <v>0</v>
      </c>
    </row>
    <row r="375">
      <c r="A375" t="inlineStr">
        <is>
          <t>LM00374</t>
        </is>
      </c>
      <c r="B375" t="inlineStr">
        <is>
          <t>The Penetration of the Gig Economy in Post-Pandemic India: Transforming the Traditional Economic Landscape</t>
        </is>
      </c>
      <c r="C375" t="n">
        <v>2025</v>
      </c>
      <c r="D375" t="inlineStr">
        <is>
          <t>Aahana Jain</t>
        </is>
      </c>
      <c r="E375" t="inlineStr">
        <is>
          <t>Innovative Research Thoughts</t>
        </is>
      </c>
      <c r="F375" t="inlineStr">
        <is>
          <t>article</t>
        </is>
      </c>
      <c r="G375" t="inlineStr"/>
      <c r="H375" t="inlineStr">
        <is>
          <t>W7217542778</t>
        </is>
      </c>
      <c r="I375" t="inlineStr">
        <is>
          <t>https://irt.shodhsagar.com/index.php/j/article/view/1638</t>
        </is>
      </c>
      <c r="J375" t="inlineStr">
        <is>
          <t>https://irt.shodhsagar.com/index.php/j/article/download/1638/1710</t>
        </is>
      </c>
      <c r="K375" t="n">
        <v>0</v>
      </c>
      <c r="L375" t="inlineStr">
        <is>
          <t>C</t>
        </is>
      </c>
      <c r="M375" t="inlineStr">
        <is>
          <t>C2</t>
        </is>
      </c>
      <c r="N375" t="inlineStr"/>
      <c r="O375" t="inlineStr">
        <is>
          <t>India</t>
        </is>
      </c>
      <c r="P375" t="inlineStr">
        <is>
          <t>South Asia</t>
        </is>
      </c>
      <c r="Q375" t="inlineStr">
        <is>
          <t>Y</t>
        </is>
      </c>
      <c r="R375" t="inlineStr"/>
      <c r="S375" t="inlineStr"/>
      <c r="T375" t="inlineStr">
        <is>
          <t>qualitative</t>
        </is>
      </c>
      <c r="U375" t="inlineStr"/>
      <c r="V375" t="inlineStr"/>
      <c r="W375" t="inlineStr">
        <is>
          <t>auto: This research investigates the extent and impact of gig economy penetration in India’s post-pandemic context, analyzing its implications on employment structures, socio-economic dynamics, and labor rights.</t>
        </is>
      </c>
      <c r="X375" t="inlineStr"/>
      <c r="Y375" t="inlineStr"/>
      <c r="Z375" t="inlineStr">
        <is>
          <t>high</t>
        </is>
      </c>
      <c r="AA375" t="inlineStr">
        <is>
          <t>C2:india</t>
        </is>
      </c>
      <c r="AB375" t="inlineStr"/>
      <c r="AC375" t="n">
        <v>0</v>
      </c>
    </row>
  </sheetData>
  <autoFilter ref="A1:AC37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4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c r="A1" s="5" t="inlineStr">
        <is>
          <t>Gap matrix — live COUNTIFS over the Records tab (counts update when rows are added)</t>
        </is>
      </c>
    </row>
    <row r="2">
      <c r="A2" t="inlineStr">
        <is>
          <t>Stage 1 pilot: only C2, A9 and B5 have records; other themes show 0 until Stage 2. Counts are of records in this bibliography (a sample), not of all literature; use the Growth tab for OpenAlex-wide counts.</t>
        </is>
      </c>
    </row>
    <row r="4">
      <c r="A4" s="6" t="inlineStr">
        <is>
          <t>Theme × region</t>
        </is>
      </c>
    </row>
    <row r="5">
      <c r="A5" s="7" t="inlineStr">
        <is>
          <t>Theme</t>
        </is>
      </c>
      <c r="B5" s="7" t="inlineStr">
        <is>
          <t>Name</t>
        </is>
      </c>
      <c r="C5" s="7" t="inlineStr">
        <is>
          <t>Global North</t>
        </is>
      </c>
      <c r="D5" s="7" t="inlineStr">
        <is>
          <t>China &amp; East Asia</t>
        </is>
      </c>
      <c r="E5" s="7" t="inlineStr">
        <is>
          <t>South Asia</t>
        </is>
      </c>
      <c r="F5" s="7" t="inlineStr">
        <is>
          <t>Southeast Asia</t>
        </is>
      </c>
      <c r="G5" s="7" t="inlineStr">
        <is>
          <t>Africa</t>
        </is>
      </c>
      <c r="H5" s="7" t="inlineStr">
        <is>
          <t>Latin America</t>
        </is>
      </c>
      <c r="I5" s="7" t="inlineStr">
        <is>
          <t>Middle East</t>
        </is>
      </c>
      <c r="J5" s="7" t="inlineStr">
        <is>
          <t>Multi-region</t>
        </is>
      </c>
      <c r="K5" s="7" t="inlineStr">
        <is>
          <t>Not place-specific</t>
        </is>
      </c>
      <c r="L5" s="7" t="inlineStr">
        <is>
          <t>Total</t>
        </is>
      </c>
      <c r="M5" s="7" t="inlineStr">
        <is>
          <t>India flag</t>
        </is>
      </c>
    </row>
    <row r="6">
      <c r="A6" t="inlineStr">
        <is>
          <t>A1</t>
        </is>
      </c>
      <c r="B6" t="inlineStr">
        <is>
          <t>Urban governance, decentralisation &amp; municipal finance</t>
        </is>
      </c>
      <c r="C6">
        <f>COUNTIFS(Records!$M:$M,$A6,Records!$P:$P,C$5)</f>
        <v/>
      </c>
      <c r="D6">
        <f>COUNTIFS(Records!$M:$M,$A6,Records!$P:$P,D$5)</f>
        <v/>
      </c>
      <c r="E6">
        <f>COUNTIFS(Records!$M:$M,$A6,Records!$P:$P,E$5)</f>
        <v/>
      </c>
      <c r="F6">
        <f>COUNTIFS(Records!$M:$M,$A6,Records!$P:$P,F$5)</f>
        <v/>
      </c>
      <c r="G6">
        <f>COUNTIFS(Records!$M:$M,$A6,Records!$P:$P,G$5)</f>
        <v/>
      </c>
      <c r="H6">
        <f>COUNTIFS(Records!$M:$M,$A6,Records!$P:$P,H$5)</f>
        <v/>
      </c>
      <c r="I6">
        <f>COUNTIFS(Records!$M:$M,$A6,Records!$P:$P,I$5)</f>
        <v/>
      </c>
      <c r="J6">
        <f>COUNTIFS(Records!$M:$M,$A6,Records!$P:$P,J$5)</f>
        <v/>
      </c>
      <c r="K6">
        <f>COUNTIFS(Records!$M:$M,$A6,Records!$P:$P,K$5)</f>
        <v/>
      </c>
      <c r="L6">
        <f>COUNTIFS(Records!$M:$M,$A6)</f>
        <v/>
      </c>
      <c r="M6">
        <f>COUNTIFS(Records!$M:$M,$A6,Records!$Q:$Q,"Y")</f>
        <v/>
      </c>
    </row>
    <row r="7">
      <c r="A7" t="inlineStr">
        <is>
          <t>A2</t>
        </is>
      </c>
      <c r="B7" t="inlineStr">
        <is>
          <t>Planning, master plans &amp; land-use regulation</t>
        </is>
      </c>
      <c r="C7">
        <f>COUNTIFS(Records!$M:$M,$A7,Records!$P:$P,C$5)</f>
        <v/>
      </c>
      <c r="D7">
        <f>COUNTIFS(Records!$M:$M,$A7,Records!$P:$P,D$5)</f>
        <v/>
      </c>
      <c r="E7">
        <f>COUNTIFS(Records!$M:$M,$A7,Records!$P:$P,E$5)</f>
        <v/>
      </c>
      <c r="F7">
        <f>COUNTIFS(Records!$M:$M,$A7,Records!$P:$P,F$5)</f>
        <v/>
      </c>
      <c r="G7">
        <f>COUNTIFS(Records!$M:$M,$A7,Records!$P:$P,G$5)</f>
        <v/>
      </c>
      <c r="H7">
        <f>COUNTIFS(Records!$M:$M,$A7,Records!$P:$P,H$5)</f>
        <v/>
      </c>
      <c r="I7">
        <f>COUNTIFS(Records!$M:$M,$A7,Records!$P:$P,I$5)</f>
        <v/>
      </c>
      <c r="J7">
        <f>COUNTIFS(Records!$M:$M,$A7,Records!$P:$P,J$5)</f>
        <v/>
      </c>
      <c r="K7">
        <f>COUNTIFS(Records!$M:$M,$A7,Records!$P:$P,K$5)</f>
        <v/>
      </c>
      <c r="L7">
        <f>COUNTIFS(Records!$M:$M,$A7)</f>
        <v/>
      </c>
      <c r="M7">
        <f>COUNTIFS(Records!$M:$M,$A7,Records!$Q:$Q,"Y")</f>
        <v/>
      </c>
    </row>
    <row r="8">
      <c r="A8" t="inlineStr">
        <is>
          <t>A3</t>
        </is>
      </c>
      <c r="B8" t="inlineStr">
        <is>
          <t>Housing, informality &amp; slums</t>
        </is>
      </c>
      <c r="C8">
        <f>COUNTIFS(Records!$M:$M,$A8,Records!$P:$P,C$5)</f>
        <v/>
      </c>
      <c r="D8">
        <f>COUNTIFS(Records!$M:$M,$A8,Records!$P:$P,D$5)</f>
        <v/>
      </c>
      <c r="E8">
        <f>COUNTIFS(Records!$M:$M,$A8,Records!$P:$P,E$5)</f>
        <v/>
      </c>
      <c r="F8">
        <f>COUNTIFS(Records!$M:$M,$A8,Records!$P:$P,F$5)</f>
        <v/>
      </c>
      <c r="G8">
        <f>COUNTIFS(Records!$M:$M,$A8,Records!$P:$P,G$5)</f>
        <v/>
      </c>
      <c r="H8">
        <f>COUNTIFS(Records!$M:$M,$A8,Records!$P:$P,H$5)</f>
        <v/>
      </c>
      <c r="I8">
        <f>COUNTIFS(Records!$M:$M,$A8,Records!$P:$P,I$5)</f>
        <v/>
      </c>
      <c r="J8">
        <f>COUNTIFS(Records!$M:$M,$A8,Records!$P:$P,J$5)</f>
        <v/>
      </c>
      <c r="K8">
        <f>COUNTIFS(Records!$M:$M,$A8,Records!$P:$P,K$5)</f>
        <v/>
      </c>
      <c r="L8">
        <f>COUNTIFS(Records!$M:$M,$A8)</f>
        <v/>
      </c>
      <c r="M8">
        <f>COUNTIFS(Records!$M:$M,$A8,Records!$Q:$Q,"Y")</f>
        <v/>
      </c>
    </row>
    <row r="9">
      <c r="A9" t="inlineStr">
        <is>
          <t>A4</t>
        </is>
      </c>
      <c r="B9" t="inlineStr">
        <is>
          <t>Eviction, resettlement &amp; displacement</t>
        </is>
      </c>
      <c r="C9">
        <f>COUNTIFS(Records!$M:$M,$A9,Records!$P:$P,C$5)</f>
        <v/>
      </c>
      <c r="D9">
        <f>COUNTIFS(Records!$M:$M,$A9,Records!$P:$P,D$5)</f>
        <v/>
      </c>
      <c r="E9">
        <f>COUNTIFS(Records!$M:$M,$A9,Records!$P:$P,E$5)</f>
        <v/>
      </c>
      <c r="F9">
        <f>COUNTIFS(Records!$M:$M,$A9,Records!$P:$P,F$5)</f>
        <v/>
      </c>
      <c r="G9">
        <f>COUNTIFS(Records!$M:$M,$A9,Records!$P:$P,G$5)</f>
        <v/>
      </c>
      <c r="H9">
        <f>COUNTIFS(Records!$M:$M,$A9,Records!$P:$P,H$5)</f>
        <v/>
      </c>
      <c r="I9">
        <f>COUNTIFS(Records!$M:$M,$A9,Records!$P:$P,I$5)</f>
        <v/>
      </c>
      <c r="J9">
        <f>COUNTIFS(Records!$M:$M,$A9,Records!$P:$P,J$5)</f>
        <v/>
      </c>
      <c r="K9">
        <f>COUNTIFS(Records!$M:$M,$A9,Records!$P:$P,K$5)</f>
        <v/>
      </c>
      <c r="L9">
        <f>COUNTIFS(Records!$M:$M,$A9)</f>
        <v/>
      </c>
      <c r="M9">
        <f>COUNTIFS(Records!$M:$M,$A9,Records!$Q:$Q,"Y")</f>
        <v/>
      </c>
    </row>
    <row r="10">
      <c r="A10" t="inlineStr">
        <is>
          <t>A5</t>
        </is>
      </c>
      <c r="B10" t="inlineStr">
        <is>
          <t>Land, peri-urban &amp; extended urbanisation</t>
        </is>
      </c>
      <c r="C10">
        <f>COUNTIFS(Records!$M:$M,$A10,Records!$P:$P,C$5)</f>
        <v/>
      </c>
      <c r="D10">
        <f>COUNTIFS(Records!$M:$M,$A10,Records!$P:$P,D$5)</f>
        <v/>
      </c>
      <c r="E10">
        <f>COUNTIFS(Records!$M:$M,$A10,Records!$P:$P,E$5)</f>
        <v/>
      </c>
      <c r="F10">
        <f>COUNTIFS(Records!$M:$M,$A10,Records!$P:$P,F$5)</f>
        <v/>
      </c>
      <c r="G10">
        <f>COUNTIFS(Records!$M:$M,$A10,Records!$P:$P,G$5)</f>
        <v/>
      </c>
      <c r="H10">
        <f>COUNTIFS(Records!$M:$M,$A10,Records!$P:$P,H$5)</f>
        <v/>
      </c>
      <c r="I10">
        <f>COUNTIFS(Records!$M:$M,$A10,Records!$P:$P,I$5)</f>
        <v/>
      </c>
      <c r="J10">
        <f>COUNTIFS(Records!$M:$M,$A10,Records!$P:$P,J$5)</f>
        <v/>
      </c>
      <c r="K10">
        <f>COUNTIFS(Records!$M:$M,$A10,Records!$P:$P,K$5)</f>
        <v/>
      </c>
      <c r="L10">
        <f>COUNTIFS(Records!$M:$M,$A10)</f>
        <v/>
      </c>
      <c r="M10">
        <f>COUNTIFS(Records!$M:$M,$A10,Records!$Q:$Q,"Y")</f>
        <v/>
      </c>
    </row>
    <row r="11">
      <c r="A11" t="inlineStr">
        <is>
          <t>A6</t>
        </is>
      </c>
      <c r="B11" t="inlineStr">
        <is>
          <t>Small towns, census towns &amp; secondary cities</t>
        </is>
      </c>
      <c r="C11">
        <f>COUNTIFS(Records!$M:$M,$A11,Records!$P:$P,C$5)</f>
        <v/>
      </c>
      <c r="D11">
        <f>COUNTIFS(Records!$M:$M,$A11,Records!$P:$P,D$5)</f>
        <v/>
      </c>
      <c r="E11">
        <f>COUNTIFS(Records!$M:$M,$A11,Records!$P:$P,E$5)</f>
        <v/>
      </c>
      <c r="F11">
        <f>COUNTIFS(Records!$M:$M,$A11,Records!$P:$P,F$5)</f>
        <v/>
      </c>
      <c r="G11">
        <f>COUNTIFS(Records!$M:$M,$A11,Records!$P:$P,G$5)</f>
        <v/>
      </c>
      <c r="H11">
        <f>COUNTIFS(Records!$M:$M,$A11,Records!$P:$P,H$5)</f>
        <v/>
      </c>
      <c r="I11">
        <f>COUNTIFS(Records!$M:$M,$A11,Records!$P:$P,I$5)</f>
        <v/>
      </c>
      <c r="J11">
        <f>COUNTIFS(Records!$M:$M,$A11,Records!$P:$P,J$5)</f>
        <v/>
      </c>
      <c r="K11">
        <f>COUNTIFS(Records!$M:$M,$A11,Records!$P:$P,K$5)</f>
        <v/>
      </c>
      <c r="L11">
        <f>COUNTIFS(Records!$M:$M,$A11)</f>
        <v/>
      </c>
      <c r="M11">
        <f>COUNTIFS(Records!$M:$M,$A11,Records!$Q:$Q,"Y")</f>
        <v/>
      </c>
    </row>
    <row r="12">
      <c r="A12" t="inlineStr">
        <is>
          <t>A7</t>
        </is>
      </c>
      <c r="B12" t="inlineStr">
        <is>
          <t>Urban infrastructure (water, sanitation, energy) &amp; infrastructural citizenship</t>
        </is>
      </c>
      <c r="C12">
        <f>COUNTIFS(Records!$M:$M,$A12,Records!$P:$P,C$5)</f>
        <v/>
      </c>
      <c r="D12">
        <f>COUNTIFS(Records!$M:$M,$A12,Records!$P:$P,D$5)</f>
        <v/>
      </c>
      <c r="E12">
        <f>COUNTIFS(Records!$M:$M,$A12,Records!$P:$P,E$5)</f>
        <v/>
      </c>
      <c r="F12">
        <f>COUNTIFS(Records!$M:$M,$A12,Records!$P:$P,F$5)</f>
        <v/>
      </c>
      <c r="G12">
        <f>COUNTIFS(Records!$M:$M,$A12,Records!$P:$P,G$5)</f>
        <v/>
      </c>
      <c r="H12">
        <f>COUNTIFS(Records!$M:$M,$A12,Records!$P:$P,H$5)</f>
        <v/>
      </c>
      <c r="I12">
        <f>COUNTIFS(Records!$M:$M,$A12,Records!$P:$P,I$5)</f>
        <v/>
      </c>
      <c r="J12">
        <f>COUNTIFS(Records!$M:$M,$A12,Records!$P:$P,J$5)</f>
        <v/>
      </c>
      <c r="K12">
        <f>COUNTIFS(Records!$M:$M,$A12,Records!$P:$P,K$5)</f>
        <v/>
      </c>
      <c r="L12">
        <f>COUNTIFS(Records!$M:$M,$A12)</f>
        <v/>
      </c>
      <c r="M12">
        <f>COUNTIFS(Records!$M:$M,$A12,Records!$Q:$Q,"Y")</f>
        <v/>
      </c>
    </row>
    <row r="13">
      <c r="A13" t="inlineStr">
        <is>
          <t>A8</t>
        </is>
      </c>
      <c r="B13" t="inlineStr">
        <is>
          <t>Mobility &amp; transport (social science)</t>
        </is>
      </c>
      <c r="C13">
        <f>COUNTIFS(Records!$M:$M,$A13,Records!$P:$P,C$5)</f>
        <v/>
      </c>
      <c r="D13">
        <f>COUNTIFS(Records!$M:$M,$A13,Records!$P:$P,D$5)</f>
        <v/>
      </c>
      <c r="E13">
        <f>COUNTIFS(Records!$M:$M,$A13,Records!$P:$P,E$5)</f>
        <v/>
      </c>
      <c r="F13">
        <f>COUNTIFS(Records!$M:$M,$A13,Records!$P:$P,F$5)</f>
        <v/>
      </c>
      <c r="G13">
        <f>COUNTIFS(Records!$M:$M,$A13,Records!$P:$P,G$5)</f>
        <v/>
      </c>
      <c r="H13">
        <f>COUNTIFS(Records!$M:$M,$A13,Records!$P:$P,H$5)</f>
        <v/>
      </c>
      <c r="I13">
        <f>COUNTIFS(Records!$M:$M,$A13,Records!$P:$P,I$5)</f>
        <v/>
      </c>
      <c r="J13">
        <f>COUNTIFS(Records!$M:$M,$A13,Records!$P:$P,J$5)</f>
        <v/>
      </c>
      <c r="K13">
        <f>COUNTIFS(Records!$M:$M,$A13,Records!$P:$P,K$5)</f>
        <v/>
      </c>
      <c r="L13">
        <f>COUNTIFS(Records!$M:$M,$A13)</f>
        <v/>
      </c>
      <c r="M13">
        <f>COUNTIFS(Records!$M:$M,$A13,Records!$Q:$Q,"Y")</f>
        <v/>
      </c>
    </row>
    <row r="14">
      <c r="A14" t="inlineStr">
        <is>
          <t>A9</t>
        </is>
      </c>
      <c r="B14" t="inlineStr">
        <is>
          <t>Public space, publicness &amp; the street</t>
        </is>
      </c>
      <c r="C14">
        <f>COUNTIFS(Records!$M:$M,$A14,Records!$P:$P,C$5)</f>
        <v/>
      </c>
      <c r="D14">
        <f>COUNTIFS(Records!$M:$M,$A14,Records!$P:$P,D$5)</f>
        <v/>
      </c>
      <c r="E14">
        <f>COUNTIFS(Records!$M:$M,$A14,Records!$P:$P,E$5)</f>
        <v/>
      </c>
      <c r="F14">
        <f>COUNTIFS(Records!$M:$M,$A14,Records!$P:$P,F$5)</f>
        <v/>
      </c>
      <c r="G14">
        <f>COUNTIFS(Records!$M:$M,$A14,Records!$P:$P,G$5)</f>
        <v/>
      </c>
      <c r="H14">
        <f>COUNTIFS(Records!$M:$M,$A14,Records!$P:$P,H$5)</f>
        <v/>
      </c>
      <c r="I14">
        <f>COUNTIFS(Records!$M:$M,$A14,Records!$P:$P,I$5)</f>
        <v/>
      </c>
      <c r="J14">
        <f>COUNTIFS(Records!$M:$M,$A14,Records!$P:$P,J$5)</f>
        <v/>
      </c>
      <c r="K14">
        <f>COUNTIFS(Records!$M:$M,$A14,Records!$P:$P,K$5)</f>
        <v/>
      </c>
      <c r="L14">
        <f>COUNTIFS(Records!$M:$M,$A14)</f>
        <v/>
      </c>
      <c r="M14">
        <f>COUNTIFS(Records!$M:$M,$A14,Records!$Q:$Q,"Y")</f>
        <v/>
      </c>
    </row>
    <row r="15">
      <c r="A15" t="inlineStr">
        <is>
          <t>A10</t>
        </is>
      </c>
      <c r="B15" t="inlineStr">
        <is>
          <t>Urban economy, informal work &amp; street vending</t>
        </is>
      </c>
      <c r="C15">
        <f>COUNTIFS(Records!$M:$M,$A15,Records!$P:$P,C$5)</f>
        <v/>
      </c>
      <c r="D15">
        <f>COUNTIFS(Records!$M:$M,$A15,Records!$P:$P,D$5)</f>
        <v/>
      </c>
      <c r="E15">
        <f>COUNTIFS(Records!$M:$M,$A15,Records!$P:$P,E$5)</f>
        <v/>
      </c>
      <c r="F15">
        <f>COUNTIFS(Records!$M:$M,$A15,Records!$P:$P,F$5)</f>
        <v/>
      </c>
      <c r="G15">
        <f>COUNTIFS(Records!$M:$M,$A15,Records!$P:$P,G$5)</f>
        <v/>
      </c>
      <c r="H15">
        <f>COUNTIFS(Records!$M:$M,$A15,Records!$P:$P,H$5)</f>
        <v/>
      </c>
      <c r="I15">
        <f>COUNTIFS(Records!$M:$M,$A15,Records!$P:$P,I$5)</f>
        <v/>
      </c>
      <c r="J15">
        <f>COUNTIFS(Records!$M:$M,$A15,Records!$P:$P,J$5)</f>
        <v/>
      </c>
      <c r="K15">
        <f>COUNTIFS(Records!$M:$M,$A15,Records!$P:$P,K$5)</f>
        <v/>
      </c>
      <c r="L15">
        <f>COUNTIFS(Records!$M:$M,$A15)</f>
        <v/>
      </c>
      <c r="M15">
        <f>COUNTIFS(Records!$M:$M,$A15,Records!$Q:$Q,"Y")</f>
        <v/>
      </c>
    </row>
    <row r="16">
      <c r="A16" t="inlineStr">
        <is>
          <t>A11</t>
        </is>
      </c>
      <c r="B16" t="inlineStr">
        <is>
          <t>Migration &amp; the city</t>
        </is>
      </c>
      <c r="C16">
        <f>COUNTIFS(Records!$M:$M,$A16,Records!$P:$P,C$5)</f>
        <v/>
      </c>
      <c r="D16">
        <f>COUNTIFS(Records!$M:$M,$A16,Records!$P:$P,D$5)</f>
        <v/>
      </c>
      <c r="E16">
        <f>COUNTIFS(Records!$M:$M,$A16,Records!$P:$P,E$5)</f>
        <v/>
      </c>
      <c r="F16">
        <f>COUNTIFS(Records!$M:$M,$A16,Records!$P:$P,F$5)</f>
        <v/>
      </c>
      <c r="G16">
        <f>COUNTIFS(Records!$M:$M,$A16,Records!$P:$P,G$5)</f>
        <v/>
      </c>
      <c r="H16">
        <f>COUNTIFS(Records!$M:$M,$A16,Records!$P:$P,H$5)</f>
        <v/>
      </c>
      <c r="I16">
        <f>COUNTIFS(Records!$M:$M,$A16,Records!$P:$P,I$5)</f>
        <v/>
      </c>
      <c r="J16">
        <f>COUNTIFS(Records!$M:$M,$A16,Records!$P:$P,J$5)</f>
        <v/>
      </c>
      <c r="K16">
        <f>COUNTIFS(Records!$M:$M,$A16,Records!$P:$P,K$5)</f>
        <v/>
      </c>
      <c r="L16">
        <f>COUNTIFS(Records!$M:$M,$A16)</f>
        <v/>
      </c>
      <c r="M16">
        <f>COUNTIFS(Records!$M:$M,$A16,Records!$Q:$Q,"Y")</f>
        <v/>
      </c>
    </row>
    <row r="17">
      <c r="A17" t="inlineStr">
        <is>
          <t>A12</t>
        </is>
      </c>
      <c r="B17" t="inlineStr">
        <is>
          <t>Gender, caste, class &amp; the city</t>
        </is>
      </c>
      <c r="C17">
        <f>COUNTIFS(Records!$M:$M,$A17,Records!$P:$P,C$5)</f>
        <v/>
      </c>
      <c r="D17">
        <f>COUNTIFS(Records!$M:$M,$A17,Records!$P:$P,D$5)</f>
        <v/>
      </c>
      <c r="E17">
        <f>COUNTIFS(Records!$M:$M,$A17,Records!$P:$P,E$5)</f>
        <v/>
      </c>
      <c r="F17">
        <f>COUNTIFS(Records!$M:$M,$A17,Records!$P:$P,F$5)</f>
        <v/>
      </c>
      <c r="G17">
        <f>COUNTIFS(Records!$M:$M,$A17,Records!$P:$P,G$5)</f>
        <v/>
      </c>
      <c r="H17">
        <f>COUNTIFS(Records!$M:$M,$A17,Records!$P:$P,H$5)</f>
        <v/>
      </c>
      <c r="I17">
        <f>COUNTIFS(Records!$M:$M,$A17,Records!$P:$P,I$5)</f>
        <v/>
      </c>
      <c r="J17">
        <f>COUNTIFS(Records!$M:$M,$A17,Records!$P:$P,J$5)</f>
        <v/>
      </c>
      <c r="K17">
        <f>COUNTIFS(Records!$M:$M,$A17,Records!$P:$P,K$5)</f>
        <v/>
      </c>
      <c r="L17">
        <f>COUNTIFS(Records!$M:$M,$A17)</f>
        <v/>
      </c>
      <c r="M17">
        <f>COUNTIFS(Records!$M:$M,$A17,Records!$Q:$Q,"Y")</f>
        <v/>
      </c>
    </row>
    <row r="18">
      <c r="A18" t="inlineStr">
        <is>
          <t>A13</t>
        </is>
      </c>
      <c r="B18" t="inlineStr">
        <is>
          <t>Heritage, mega-events &amp; "world-class" city making</t>
        </is>
      </c>
      <c r="C18">
        <f>COUNTIFS(Records!$M:$M,$A18,Records!$P:$P,C$5)</f>
        <v/>
      </c>
      <c r="D18">
        <f>COUNTIFS(Records!$M:$M,$A18,Records!$P:$P,D$5)</f>
        <v/>
      </c>
      <c r="E18">
        <f>COUNTIFS(Records!$M:$M,$A18,Records!$P:$P,E$5)</f>
        <v/>
      </c>
      <c r="F18">
        <f>COUNTIFS(Records!$M:$M,$A18,Records!$P:$P,F$5)</f>
        <v/>
      </c>
      <c r="G18">
        <f>COUNTIFS(Records!$M:$M,$A18,Records!$P:$P,G$5)</f>
        <v/>
      </c>
      <c r="H18">
        <f>COUNTIFS(Records!$M:$M,$A18,Records!$P:$P,H$5)</f>
        <v/>
      </c>
      <c r="I18">
        <f>COUNTIFS(Records!$M:$M,$A18,Records!$P:$P,I$5)</f>
        <v/>
      </c>
      <c r="J18">
        <f>COUNTIFS(Records!$M:$M,$A18,Records!$P:$P,J$5)</f>
        <v/>
      </c>
      <c r="K18">
        <f>COUNTIFS(Records!$M:$M,$A18,Records!$P:$P,K$5)</f>
        <v/>
      </c>
      <c r="L18">
        <f>COUNTIFS(Records!$M:$M,$A18)</f>
        <v/>
      </c>
      <c r="M18">
        <f>COUNTIFS(Records!$M:$M,$A18,Records!$Q:$Q,"Y")</f>
        <v/>
      </c>
    </row>
    <row r="19">
      <c r="A19" t="inlineStr">
        <is>
          <t>A14</t>
        </is>
      </c>
      <c r="B19" t="inlineStr">
        <is>
          <t>Urban environment, climate &amp; risk</t>
        </is>
      </c>
      <c r="C19">
        <f>COUNTIFS(Records!$M:$M,$A19,Records!$P:$P,C$5)</f>
        <v/>
      </c>
      <c r="D19">
        <f>COUNTIFS(Records!$M:$M,$A19,Records!$P:$P,D$5)</f>
        <v/>
      </c>
      <c r="E19">
        <f>COUNTIFS(Records!$M:$M,$A19,Records!$P:$P,E$5)</f>
        <v/>
      </c>
      <c r="F19">
        <f>COUNTIFS(Records!$M:$M,$A19,Records!$P:$P,F$5)</f>
        <v/>
      </c>
      <c r="G19">
        <f>COUNTIFS(Records!$M:$M,$A19,Records!$P:$P,G$5)</f>
        <v/>
      </c>
      <c r="H19">
        <f>COUNTIFS(Records!$M:$M,$A19,Records!$P:$P,H$5)</f>
        <v/>
      </c>
      <c r="I19">
        <f>COUNTIFS(Records!$M:$M,$A19,Records!$P:$P,I$5)</f>
        <v/>
      </c>
      <c r="J19">
        <f>COUNTIFS(Records!$M:$M,$A19,Records!$P:$P,J$5)</f>
        <v/>
      </c>
      <c r="K19">
        <f>COUNTIFS(Records!$M:$M,$A19,Records!$P:$P,K$5)</f>
        <v/>
      </c>
      <c r="L19">
        <f>COUNTIFS(Records!$M:$M,$A19)</f>
        <v/>
      </c>
      <c r="M19">
        <f>COUNTIFS(Records!$M:$M,$A19,Records!$Q:$Q,"Y")</f>
        <v/>
      </c>
    </row>
    <row r="20">
      <c r="A20" t="inlineStr">
        <is>
          <t>A15</t>
        </is>
      </c>
      <c r="B20" t="inlineStr">
        <is>
          <t>Urban &amp; planning theory, Southern urbanism</t>
        </is>
      </c>
      <c r="C20">
        <f>COUNTIFS(Records!$M:$M,$A20,Records!$P:$P,C$5)</f>
        <v/>
      </c>
      <c r="D20">
        <f>COUNTIFS(Records!$M:$M,$A20,Records!$P:$P,D$5)</f>
        <v/>
      </c>
      <c r="E20">
        <f>COUNTIFS(Records!$M:$M,$A20,Records!$P:$P,E$5)</f>
        <v/>
      </c>
      <c r="F20">
        <f>COUNTIFS(Records!$M:$M,$A20,Records!$P:$P,F$5)</f>
        <v/>
      </c>
      <c r="G20">
        <f>COUNTIFS(Records!$M:$M,$A20,Records!$P:$P,G$5)</f>
        <v/>
      </c>
      <c r="H20">
        <f>COUNTIFS(Records!$M:$M,$A20,Records!$P:$P,H$5)</f>
        <v/>
      </c>
      <c r="I20">
        <f>COUNTIFS(Records!$M:$M,$A20,Records!$P:$P,I$5)</f>
        <v/>
      </c>
      <c r="J20">
        <f>COUNTIFS(Records!$M:$M,$A20,Records!$P:$P,J$5)</f>
        <v/>
      </c>
      <c r="K20">
        <f>COUNTIFS(Records!$M:$M,$A20,Records!$P:$P,K$5)</f>
        <v/>
      </c>
      <c r="L20">
        <f>COUNTIFS(Records!$M:$M,$A20)</f>
        <v/>
      </c>
      <c r="M20">
        <f>COUNTIFS(Records!$M:$M,$A20,Records!$Q:$Q,"Y")</f>
        <v/>
      </c>
    </row>
    <row r="21">
      <c r="A21" t="inlineStr">
        <is>
          <t>A16</t>
        </is>
      </c>
      <c r="B21" t="inlineStr">
        <is>
          <t>Night-time city &amp; urban time</t>
        </is>
      </c>
      <c r="C21">
        <f>COUNTIFS(Records!$M:$M,$A21,Records!$P:$P,C$5)</f>
        <v/>
      </c>
      <c r="D21">
        <f>COUNTIFS(Records!$M:$M,$A21,Records!$P:$P,D$5)</f>
        <v/>
      </c>
      <c r="E21">
        <f>COUNTIFS(Records!$M:$M,$A21,Records!$P:$P,E$5)</f>
        <v/>
      </c>
      <c r="F21">
        <f>COUNTIFS(Records!$M:$M,$A21,Records!$P:$P,F$5)</f>
        <v/>
      </c>
      <c r="G21">
        <f>COUNTIFS(Records!$M:$M,$A21,Records!$P:$P,G$5)</f>
        <v/>
      </c>
      <c r="H21">
        <f>COUNTIFS(Records!$M:$M,$A21,Records!$P:$P,H$5)</f>
        <v/>
      </c>
      <c r="I21">
        <f>COUNTIFS(Records!$M:$M,$A21,Records!$P:$P,I$5)</f>
        <v/>
      </c>
      <c r="J21">
        <f>COUNTIFS(Records!$M:$M,$A21,Records!$P:$P,J$5)</f>
        <v/>
      </c>
      <c r="K21">
        <f>COUNTIFS(Records!$M:$M,$A21,Records!$P:$P,K$5)</f>
        <v/>
      </c>
      <c r="L21">
        <f>COUNTIFS(Records!$M:$M,$A21)</f>
        <v/>
      </c>
      <c r="M21">
        <f>COUNTIFS(Records!$M:$M,$A21,Records!$Q:$Q,"Y")</f>
        <v/>
      </c>
    </row>
    <row r="22">
      <c r="A22" t="inlineStr">
        <is>
          <t>B1</t>
        </is>
      </c>
      <c r="B22" t="inlineStr">
        <is>
          <t>Platforms &amp; platform capitalism</t>
        </is>
      </c>
      <c r="C22">
        <f>COUNTIFS(Records!$M:$M,$A22,Records!$P:$P,C$5)</f>
        <v/>
      </c>
      <c r="D22">
        <f>COUNTIFS(Records!$M:$M,$A22,Records!$P:$P,D$5)</f>
        <v/>
      </c>
      <c r="E22">
        <f>COUNTIFS(Records!$M:$M,$A22,Records!$P:$P,E$5)</f>
        <v/>
      </c>
      <c r="F22">
        <f>COUNTIFS(Records!$M:$M,$A22,Records!$P:$P,F$5)</f>
        <v/>
      </c>
      <c r="G22">
        <f>COUNTIFS(Records!$M:$M,$A22,Records!$P:$P,G$5)</f>
        <v/>
      </c>
      <c r="H22">
        <f>COUNTIFS(Records!$M:$M,$A22,Records!$P:$P,H$5)</f>
        <v/>
      </c>
      <c r="I22">
        <f>COUNTIFS(Records!$M:$M,$A22,Records!$P:$P,I$5)</f>
        <v/>
      </c>
      <c r="J22">
        <f>COUNTIFS(Records!$M:$M,$A22,Records!$P:$P,J$5)</f>
        <v/>
      </c>
      <c r="K22">
        <f>COUNTIFS(Records!$M:$M,$A22,Records!$P:$P,K$5)</f>
        <v/>
      </c>
      <c r="L22">
        <f>COUNTIFS(Records!$M:$M,$A22)</f>
        <v/>
      </c>
      <c r="M22">
        <f>COUNTIFS(Records!$M:$M,$A22,Records!$Q:$Q,"Y")</f>
        <v/>
      </c>
    </row>
    <row r="23">
      <c r="A23" t="inlineStr">
        <is>
          <t>B2</t>
        </is>
      </c>
      <c r="B23" t="inlineStr">
        <is>
          <t>Datafication, data justice &amp; data colonialism</t>
        </is>
      </c>
      <c r="C23">
        <f>COUNTIFS(Records!$M:$M,$A23,Records!$P:$P,C$5)</f>
        <v/>
      </c>
      <c r="D23">
        <f>COUNTIFS(Records!$M:$M,$A23,Records!$P:$P,D$5)</f>
        <v/>
      </c>
      <c r="E23">
        <f>COUNTIFS(Records!$M:$M,$A23,Records!$P:$P,E$5)</f>
        <v/>
      </c>
      <c r="F23">
        <f>COUNTIFS(Records!$M:$M,$A23,Records!$P:$P,F$5)</f>
        <v/>
      </c>
      <c r="G23">
        <f>COUNTIFS(Records!$M:$M,$A23,Records!$P:$P,G$5)</f>
        <v/>
      </c>
      <c r="H23">
        <f>COUNTIFS(Records!$M:$M,$A23,Records!$P:$P,H$5)</f>
        <v/>
      </c>
      <c r="I23">
        <f>COUNTIFS(Records!$M:$M,$A23,Records!$P:$P,I$5)</f>
        <v/>
      </c>
      <c r="J23">
        <f>COUNTIFS(Records!$M:$M,$A23,Records!$P:$P,J$5)</f>
        <v/>
      </c>
      <c r="K23">
        <f>COUNTIFS(Records!$M:$M,$A23,Records!$P:$P,K$5)</f>
        <v/>
      </c>
      <c r="L23">
        <f>COUNTIFS(Records!$M:$M,$A23)</f>
        <v/>
      </c>
      <c r="M23">
        <f>COUNTIFS(Records!$M:$M,$A23,Records!$Q:$Q,"Y")</f>
        <v/>
      </c>
    </row>
    <row r="24">
      <c r="A24" t="inlineStr">
        <is>
          <t>B3</t>
        </is>
      </c>
      <c r="B24" t="inlineStr">
        <is>
          <t>Surveillance studies</t>
        </is>
      </c>
      <c r="C24">
        <f>COUNTIFS(Records!$M:$M,$A24,Records!$P:$P,C$5)</f>
        <v/>
      </c>
      <c r="D24">
        <f>COUNTIFS(Records!$M:$M,$A24,Records!$P:$P,D$5)</f>
        <v/>
      </c>
      <c r="E24">
        <f>COUNTIFS(Records!$M:$M,$A24,Records!$P:$P,E$5)</f>
        <v/>
      </c>
      <c r="F24">
        <f>COUNTIFS(Records!$M:$M,$A24,Records!$P:$P,F$5)</f>
        <v/>
      </c>
      <c r="G24">
        <f>COUNTIFS(Records!$M:$M,$A24,Records!$P:$P,G$5)</f>
        <v/>
      </c>
      <c r="H24">
        <f>COUNTIFS(Records!$M:$M,$A24,Records!$P:$P,H$5)</f>
        <v/>
      </c>
      <c r="I24">
        <f>COUNTIFS(Records!$M:$M,$A24,Records!$P:$P,I$5)</f>
        <v/>
      </c>
      <c r="J24">
        <f>COUNTIFS(Records!$M:$M,$A24,Records!$P:$P,J$5)</f>
        <v/>
      </c>
      <c r="K24">
        <f>COUNTIFS(Records!$M:$M,$A24,Records!$P:$P,K$5)</f>
        <v/>
      </c>
      <c r="L24">
        <f>COUNTIFS(Records!$M:$M,$A24)</f>
        <v/>
      </c>
      <c r="M24">
        <f>COUNTIFS(Records!$M:$M,$A24,Records!$Q:$Q,"Y")</f>
        <v/>
      </c>
    </row>
    <row r="25">
      <c r="A25" t="inlineStr">
        <is>
          <t>B4</t>
        </is>
      </c>
      <c r="B25" t="inlineStr">
        <is>
          <t>Algorithmic governance &amp; AI in the public sector</t>
        </is>
      </c>
      <c r="C25">
        <f>COUNTIFS(Records!$M:$M,$A25,Records!$P:$P,C$5)</f>
        <v/>
      </c>
      <c r="D25">
        <f>COUNTIFS(Records!$M:$M,$A25,Records!$P:$P,D$5)</f>
        <v/>
      </c>
      <c r="E25">
        <f>COUNTIFS(Records!$M:$M,$A25,Records!$P:$P,E$5)</f>
        <v/>
      </c>
      <c r="F25">
        <f>COUNTIFS(Records!$M:$M,$A25,Records!$P:$P,F$5)</f>
        <v/>
      </c>
      <c r="G25">
        <f>COUNTIFS(Records!$M:$M,$A25,Records!$P:$P,G$5)</f>
        <v/>
      </c>
      <c r="H25">
        <f>COUNTIFS(Records!$M:$M,$A25,Records!$P:$P,H$5)</f>
        <v/>
      </c>
      <c r="I25">
        <f>COUNTIFS(Records!$M:$M,$A25,Records!$P:$P,I$5)</f>
        <v/>
      </c>
      <c r="J25">
        <f>COUNTIFS(Records!$M:$M,$A25,Records!$P:$P,J$5)</f>
        <v/>
      </c>
      <c r="K25">
        <f>COUNTIFS(Records!$M:$M,$A25,Records!$P:$P,K$5)</f>
        <v/>
      </c>
      <c r="L25">
        <f>COUNTIFS(Records!$M:$M,$A25)</f>
        <v/>
      </c>
      <c r="M25">
        <f>COUNTIFS(Records!$M:$M,$A25,Records!$Q:$Q,"Y")</f>
        <v/>
      </c>
    </row>
    <row r="26">
      <c r="A26" t="inlineStr">
        <is>
          <t>B5</t>
        </is>
      </c>
      <c r="B26" t="inlineStr">
        <is>
          <t>Digital identity &amp; digital public infrastructure (DPI)</t>
        </is>
      </c>
      <c r="C26">
        <f>COUNTIFS(Records!$M:$M,$A26,Records!$P:$P,C$5)</f>
        <v/>
      </c>
      <c r="D26">
        <f>COUNTIFS(Records!$M:$M,$A26,Records!$P:$P,D$5)</f>
        <v/>
      </c>
      <c r="E26">
        <f>COUNTIFS(Records!$M:$M,$A26,Records!$P:$P,E$5)</f>
        <v/>
      </c>
      <c r="F26">
        <f>COUNTIFS(Records!$M:$M,$A26,Records!$P:$P,F$5)</f>
        <v/>
      </c>
      <c r="G26">
        <f>COUNTIFS(Records!$M:$M,$A26,Records!$P:$P,G$5)</f>
        <v/>
      </c>
      <c r="H26">
        <f>COUNTIFS(Records!$M:$M,$A26,Records!$P:$P,H$5)</f>
        <v/>
      </c>
      <c r="I26">
        <f>COUNTIFS(Records!$M:$M,$A26,Records!$P:$P,I$5)</f>
        <v/>
      </c>
      <c r="J26">
        <f>COUNTIFS(Records!$M:$M,$A26,Records!$P:$P,J$5)</f>
        <v/>
      </c>
      <c r="K26">
        <f>COUNTIFS(Records!$M:$M,$A26,Records!$P:$P,K$5)</f>
        <v/>
      </c>
      <c r="L26">
        <f>COUNTIFS(Records!$M:$M,$A26)</f>
        <v/>
      </c>
      <c r="M26">
        <f>COUNTIFS(Records!$M:$M,$A26,Records!$Q:$Q,"Y")</f>
        <v/>
      </c>
    </row>
    <row r="27">
      <c r="A27" t="inlineStr">
        <is>
          <t>B6</t>
        </is>
      </c>
      <c r="B27" t="inlineStr">
        <is>
          <t>Digital finance &amp; payments</t>
        </is>
      </c>
      <c r="C27">
        <f>COUNTIFS(Records!$M:$M,$A27,Records!$P:$P,C$5)</f>
        <v/>
      </c>
      <c r="D27">
        <f>COUNTIFS(Records!$M:$M,$A27,Records!$P:$P,D$5)</f>
        <v/>
      </c>
      <c r="E27">
        <f>COUNTIFS(Records!$M:$M,$A27,Records!$P:$P,E$5)</f>
        <v/>
      </c>
      <c r="F27">
        <f>COUNTIFS(Records!$M:$M,$A27,Records!$P:$P,F$5)</f>
        <v/>
      </c>
      <c r="G27">
        <f>COUNTIFS(Records!$M:$M,$A27,Records!$P:$P,G$5)</f>
        <v/>
      </c>
      <c r="H27">
        <f>COUNTIFS(Records!$M:$M,$A27,Records!$P:$P,H$5)</f>
        <v/>
      </c>
      <c r="I27">
        <f>COUNTIFS(Records!$M:$M,$A27,Records!$P:$P,I$5)</f>
        <v/>
      </c>
      <c r="J27">
        <f>COUNTIFS(Records!$M:$M,$A27,Records!$P:$P,J$5)</f>
        <v/>
      </c>
      <c r="K27">
        <f>COUNTIFS(Records!$M:$M,$A27,Records!$P:$P,K$5)</f>
        <v/>
      </c>
      <c r="L27">
        <f>COUNTIFS(Records!$M:$M,$A27)</f>
        <v/>
      </c>
      <c r="M27">
        <f>COUNTIFS(Records!$M:$M,$A27,Records!$Q:$Q,"Y")</f>
        <v/>
      </c>
    </row>
    <row r="28">
      <c r="A28" t="inlineStr">
        <is>
          <t>B7</t>
        </is>
      </c>
      <c r="B28" t="inlineStr">
        <is>
          <t>Digital divides &amp; digital inclusion</t>
        </is>
      </c>
      <c r="C28">
        <f>COUNTIFS(Records!$M:$M,$A28,Records!$P:$P,C$5)</f>
        <v/>
      </c>
      <c r="D28">
        <f>COUNTIFS(Records!$M:$M,$A28,Records!$P:$P,D$5)</f>
        <v/>
      </c>
      <c r="E28">
        <f>COUNTIFS(Records!$M:$M,$A28,Records!$P:$P,E$5)</f>
        <v/>
      </c>
      <c r="F28">
        <f>COUNTIFS(Records!$M:$M,$A28,Records!$P:$P,F$5)</f>
        <v/>
      </c>
      <c r="G28">
        <f>COUNTIFS(Records!$M:$M,$A28,Records!$P:$P,G$5)</f>
        <v/>
      </c>
      <c r="H28">
        <f>COUNTIFS(Records!$M:$M,$A28,Records!$P:$P,H$5)</f>
        <v/>
      </c>
      <c r="I28">
        <f>COUNTIFS(Records!$M:$M,$A28,Records!$P:$P,I$5)</f>
        <v/>
      </c>
      <c r="J28">
        <f>COUNTIFS(Records!$M:$M,$A28,Records!$P:$P,J$5)</f>
        <v/>
      </c>
      <c r="K28">
        <f>COUNTIFS(Records!$M:$M,$A28,Records!$P:$P,K$5)</f>
        <v/>
      </c>
      <c r="L28">
        <f>COUNTIFS(Records!$M:$M,$A28)</f>
        <v/>
      </c>
      <c r="M28">
        <f>COUNTIFS(Records!$M:$M,$A28,Records!$Q:$Q,"Y")</f>
        <v/>
      </c>
    </row>
    <row r="29">
      <c r="A29" t="inlineStr">
        <is>
          <t>B8</t>
        </is>
      </c>
      <c r="B29" t="inlineStr">
        <is>
          <t>Social media, digital publics &amp; political communication</t>
        </is>
      </c>
      <c r="C29">
        <f>COUNTIFS(Records!$M:$M,$A29,Records!$P:$P,C$5)</f>
        <v/>
      </c>
      <c r="D29">
        <f>COUNTIFS(Records!$M:$M,$A29,Records!$P:$P,D$5)</f>
        <v/>
      </c>
      <c r="E29">
        <f>COUNTIFS(Records!$M:$M,$A29,Records!$P:$P,E$5)</f>
        <v/>
      </c>
      <c r="F29">
        <f>COUNTIFS(Records!$M:$M,$A29,Records!$P:$P,F$5)</f>
        <v/>
      </c>
      <c r="G29">
        <f>COUNTIFS(Records!$M:$M,$A29,Records!$P:$P,G$5)</f>
        <v/>
      </c>
      <c r="H29">
        <f>COUNTIFS(Records!$M:$M,$A29,Records!$P:$P,H$5)</f>
        <v/>
      </c>
      <c r="I29">
        <f>COUNTIFS(Records!$M:$M,$A29,Records!$P:$P,I$5)</f>
        <v/>
      </c>
      <c r="J29">
        <f>COUNTIFS(Records!$M:$M,$A29,Records!$P:$P,J$5)</f>
        <v/>
      </c>
      <c r="K29">
        <f>COUNTIFS(Records!$M:$M,$A29,Records!$P:$P,K$5)</f>
        <v/>
      </c>
      <c r="L29">
        <f>COUNTIFS(Records!$M:$M,$A29)</f>
        <v/>
      </c>
      <c r="M29">
        <f>COUNTIFS(Records!$M:$M,$A29,Records!$Q:$Q,"Y")</f>
        <v/>
      </c>
    </row>
    <row r="30">
      <c r="A30" t="inlineStr">
        <is>
          <t>B9</t>
        </is>
      </c>
      <c r="B30" t="inlineStr">
        <is>
          <t>Misinformation &amp; extreme speech</t>
        </is>
      </c>
      <c r="C30">
        <f>COUNTIFS(Records!$M:$M,$A30,Records!$P:$P,C$5)</f>
        <v/>
      </c>
      <c r="D30">
        <f>COUNTIFS(Records!$M:$M,$A30,Records!$P:$P,D$5)</f>
        <v/>
      </c>
      <c r="E30">
        <f>COUNTIFS(Records!$M:$M,$A30,Records!$P:$P,E$5)</f>
        <v/>
      </c>
      <c r="F30">
        <f>COUNTIFS(Records!$M:$M,$A30,Records!$P:$P,F$5)</f>
        <v/>
      </c>
      <c r="G30">
        <f>COUNTIFS(Records!$M:$M,$A30,Records!$P:$P,G$5)</f>
        <v/>
      </c>
      <c r="H30">
        <f>COUNTIFS(Records!$M:$M,$A30,Records!$P:$P,H$5)</f>
        <v/>
      </c>
      <c r="I30">
        <f>COUNTIFS(Records!$M:$M,$A30,Records!$P:$P,I$5)</f>
        <v/>
      </c>
      <c r="J30">
        <f>COUNTIFS(Records!$M:$M,$A30,Records!$P:$P,J$5)</f>
        <v/>
      </c>
      <c r="K30">
        <f>COUNTIFS(Records!$M:$M,$A30,Records!$P:$P,K$5)</f>
        <v/>
      </c>
      <c r="L30">
        <f>COUNTIFS(Records!$M:$M,$A30)</f>
        <v/>
      </c>
      <c r="M30">
        <f>COUNTIFS(Records!$M:$M,$A30,Records!$Q:$Q,"Y")</f>
        <v/>
      </c>
    </row>
    <row r="31">
      <c r="A31" t="inlineStr">
        <is>
          <t>B10</t>
        </is>
      </c>
      <c r="B31" t="inlineStr">
        <is>
          <t>Cybercrime, fraud &amp; cybersecurity (social science)</t>
        </is>
      </c>
      <c r="C31">
        <f>COUNTIFS(Records!$M:$M,$A31,Records!$P:$P,C$5)</f>
        <v/>
      </c>
      <c r="D31">
        <f>COUNTIFS(Records!$M:$M,$A31,Records!$P:$P,D$5)</f>
        <v/>
      </c>
      <c r="E31">
        <f>COUNTIFS(Records!$M:$M,$A31,Records!$P:$P,E$5)</f>
        <v/>
      </c>
      <c r="F31">
        <f>COUNTIFS(Records!$M:$M,$A31,Records!$P:$P,F$5)</f>
        <v/>
      </c>
      <c r="G31">
        <f>COUNTIFS(Records!$M:$M,$A31,Records!$P:$P,G$5)</f>
        <v/>
      </c>
      <c r="H31">
        <f>COUNTIFS(Records!$M:$M,$A31,Records!$P:$P,H$5)</f>
        <v/>
      </c>
      <c r="I31">
        <f>COUNTIFS(Records!$M:$M,$A31,Records!$P:$P,I$5)</f>
        <v/>
      </c>
      <c r="J31">
        <f>COUNTIFS(Records!$M:$M,$A31,Records!$P:$P,J$5)</f>
        <v/>
      </c>
      <c r="K31">
        <f>COUNTIFS(Records!$M:$M,$A31,Records!$P:$P,K$5)</f>
        <v/>
      </c>
      <c r="L31">
        <f>COUNTIFS(Records!$M:$M,$A31)</f>
        <v/>
      </c>
      <c r="M31">
        <f>COUNTIFS(Records!$M:$M,$A31,Records!$Q:$Q,"Y")</f>
        <v/>
      </c>
    </row>
    <row r="32">
      <c r="A32" t="inlineStr">
        <is>
          <t>B11</t>
        </is>
      </c>
      <c r="B32" t="inlineStr">
        <is>
          <t>Digital labour</t>
        </is>
      </c>
      <c r="C32">
        <f>COUNTIFS(Records!$M:$M,$A32,Records!$P:$P,C$5)</f>
        <v/>
      </c>
      <c r="D32">
        <f>COUNTIFS(Records!$M:$M,$A32,Records!$P:$P,D$5)</f>
        <v/>
      </c>
      <c r="E32">
        <f>COUNTIFS(Records!$M:$M,$A32,Records!$P:$P,E$5)</f>
        <v/>
      </c>
      <c r="F32">
        <f>COUNTIFS(Records!$M:$M,$A32,Records!$P:$P,F$5)</f>
        <v/>
      </c>
      <c r="G32">
        <f>COUNTIFS(Records!$M:$M,$A32,Records!$P:$P,G$5)</f>
        <v/>
      </c>
      <c r="H32">
        <f>COUNTIFS(Records!$M:$M,$A32,Records!$P:$P,H$5)</f>
        <v/>
      </c>
      <c r="I32">
        <f>COUNTIFS(Records!$M:$M,$A32,Records!$P:$P,I$5)</f>
        <v/>
      </c>
      <c r="J32">
        <f>COUNTIFS(Records!$M:$M,$A32,Records!$P:$P,J$5)</f>
        <v/>
      </c>
      <c r="K32">
        <f>COUNTIFS(Records!$M:$M,$A32,Records!$P:$P,K$5)</f>
        <v/>
      </c>
      <c r="L32">
        <f>COUNTIFS(Records!$M:$M,$A32)</f>
        <v/>
      </c>
      <c r="M32">
        <f>COUNTIFS(Records!$M:$M,$A32,Records!$Q:$Q,"Y")</f>
        <v/>
      </c>
    </row>
    <row r="33">
      <c r="A33" t="inlineStr">
        <is>
          <t>B12</t>
        </is>
      </c>
      <c r="B33" t="inlineStr">
        <is>
          <t>Infrastructure studies &amp; STS of digital systems</t>
        </is>
      </c>
      <c r="C33">
        <f>COUNTIFS(Records!$M:$M,$A33,Records!$P:$P,C$5)</f>
        <v/>
      </c>
      <c r="D33">
        <f>COUNTIFS(Records!$M:$M,$A33,Records!$P:$P,D$5)</f>
        <v/>
      </c>
      <c r="E33">
        <f>COUNTIFS(Records!$M:$M,$A33,Records!$P:$P,E$5)</f>
        <v/>
      </c>
      <c r="F33">
        <f>COUNTIFS(Records!$M:$M,$A33,Records!$P:$P,F$5)</f>
        <v/>
      </c>
      <c r="G33">
        <f>COUNTIFS(Records!$M:$M,$A33,Records!$P:$P,G$5)</f>
        <v/>
      </c>
      <c r="H33">
        <f>COUNTIFS(Records!$M:$M,$A33,Records!$P:$P,H$5)</f>
        <v/>
      </c>
      <c r="I33">
        <f>COUNTIFS(Records!$M:$M,$A33,Records!$P:$P,I$5)</f>
        <v/>
      </c>
      <c r="J33">
        <f>COUNTIFS(Records!$M:$M,$A33,Records!$P:$P,J$5)</f>
        <v/>
      </c>
      <c r="K33">
        <f>COUNTIFS(Records!$M:$M,$A33,Records!$P:$P,K$5)</f>
        <v/>
      </c>
      <c r="L33">
        <f>COUNTIFS(Records!$M:$M,$A33)</f>
        <v/>
      </c>
      <c r="M33">
        <f>COUNTIFS(Records!$M:$M,$A33,Records!$Q:$Q,"Y")</f>
        <v/>
      </c>
    </row>
    <row r="34">
      <c r="A34" t="inlineStr">
        <is>
          <t>B13</t>
        </is>
      </c>
      <c r="B34" t="inlineStr">
        <is>
          <t>Mobile phones &amp; everyday digital life</t>
        </is>
      </c>
      <c r="C34">
        <f>COUNTIFS(Records!$M:$M,$A34,Records!$P:$P,C$5)</f>
        <v/>
      </c>
      <c r="D34">
        <f>COUNTIFS(Records!$M:$M,$A34,Records!$P:$P,D$5)</f>
        <v/>
      </c>
      <c r="E34">
        <f>COUNTIFS(Records!$M:$M,$A34,Records!$P:$P,E$5)</f>
        <v/>
      </c>
      <c r="F34">
        <f>COUNTIFS(Records!$M:$M,$A34,Records!$P:$P,F$5)</f>
        <v/>
      </c>
      <c r="G34">
        <f>COUNTIFS(Records!$M:$M,$A34,Records!$P:$P,G$5)</f>
        <v/>
      </c>
      <c r="H34">
        <f>COUNTIFS(Records!$M:$M,$A34,Records!$P:$P,H$5)</f>
        <v/>
      </c>
      <c r="I34">
        <f>COUNTIFS(Records!$M:$M,$A34,Records!$P:$P,I$5)</f>
        <v/>
      </c>
      <c r="J34">
        <f>COUNTIFS(Records!$M:$M,$A34,Records!$P:$P,J$5)</f>
        <v/>
      </c>
      <c r="K34">
        <f>COUNTIFS(Records!$M:$M,$A34,Records!$P:$P,K$5)</f>
        <v/>
      </c>
      <c r="L34">
        <f>COUNTIFS(Records!$M:$M,$A34)</f>
        <v/>
      </c>
      <c r="M34">
        <f>COUNTIFS(Records!$M:$M,$A34,Records!$Q:$Q,"Y")</f>
        <v/>
      </c>
    </row>
    <row r="35">
      <c r="A35" t="inlineStr">
        <is>
          <t>B14</t>
        </is>
      </c>
      <c r="B35" t="inlineStr">
        <is>
          <t>Generative AI &amp; society</t>
        </is>
      </c>
      <c r="C35">
        <f>COUNTIFS(Records!$M:$M,$A35,Records!$P:$P,C$5)</f>
        <v/>
      </c>
      <c r="D35">
        <f>COUNTIFS(Records!$M:$M,$A35,Records!$P:$P,D$5)</f>
        <v/>
      </c>
      <c r="E35">
        <f>COUNTIFS(Records!$M:$M,$A35,Records!$P:$P,E$5)</f>
        <v/>
      </c>
      <c r="F35">
        <f>COUNTIFS(Records!$M:$M,$A35,Records!$P:$P,F$5)</f>
        <v/>
      </c>
      <c r="G35">
        <f>COUNTIFS(Records!$M:$M,$A35,Records!$P:$P,G$5)</f>
        <v/>
      </c>
      <c r="H35">
        <f>COUNTIFS(Records!$M:$M,$A35,Records!$P:$P,H$5)</f>
        <v/>
      </c>
      <c r="I35">
        <f>COUNTIFS(Records!$M:$M,$A35,Records!$P:$P,I$5)</f>
        <v/>
      </c>
      <c r="J35">
        <f>COUNTIFS(Records!$M:$M,$A35,Records!$P:$P,J$5)</f>
        <v/>
      </c>
      <c r="K35">
        <f>COUNTIFS(Records!$M:$M,$A35,Records!$P:$P,K$5)</f>
        <v/>
      </c>
      <c r="L35">
        <f>COUNTIFS(Records!$M:$M,$A35)</f>
        <v/>
      </c>
      <c r="M35">
        <f>COUNTIFS(Records!$M:$M,$A35,Records!$Q:$Q,"Y")</f>
        <v/>
      </c>
    </row>
    <row r="36">
      <c r="A36" t="inlineStr">
        <is>
          <t>C1</t>
        </is>
      </c>
      <c r="B36" t="inlineStr">
        <is>
          <t>Smart cities &amp; smart urbanism</t>
        </is>
      </c>
      <c r="C36">
        <f>COUNTIFS(Records!$M:$M,$A36,Records!$P:$P,C$5)</f>
        <v/>
      </c>
      <c r="D36">
        <f>COUNTIFS(Records!$M:$M,$A36,Records!$P:$P,D$5)</f>
        <v/>
      </c>
      <c r="E36">
        <f>COUNTIFS(Records!$M:$M,$A36,Records!$P:$P,E$5)</f>
        <v/>
      </c>
      <c r="F36">
        <f>COUNTIFS(Records!$M:$M,$A36,Records!$P:$P,F$5)</f>
        <v/>
      </c>
      <c r="G36">
        <f>COUNTIFS(Records!$M:$M,$A36,Records!$P:$P,G$5)</f>
        <v/>
      </c>
      <c r="H36">
        <f>COUNTIFS(Records!$M:$M,$A36,Records!$P:$P,H$5)</f>
        <v/>
      </c>
      <c r="I36">
        <f>COUNTIFS(Records!$M:$M,$A36,Records!$P:$P,I$5)</f>
        <v/>
      </c>
      <c r="J36">
        <f>COUNTIFS(Records!$M:$M,$A36,Records!$P:$P,J$5)</f>
        <v/>
      </c>
      <c r="K36">
        <f>COUNTIFS(Records!$M:$M,$A36,Records!$P:$P,K$5)</f>
        <v/>
      </c>
      <c r="L36">
        <f>COUNTIFS(Records!$M:$M,$A36)</f>
        <v/>
      </c>
      <c r="M36">
        <f>COUNTIFS(Records!$M:$M,$A36,Records!$Q:$Q,"Y")</f>
        <v/>
      </c>
    </row>
    <row r="37">
      <c r="A37" t="inlineStr">
        <is>
          <t>C2</t>
        </is>
      </c>
      <c r="B37" t="inlineStr">
        <is>
          <t>Platform urbanism</t>
        </is>
      </c>
      <c r="C37">
        <f>COUNTIFS(Records!$M:$M,$A37,Records!$P:$P,C$5)</f>
        <v/>
      </c>
      <c r="D37">
        <f>COUNTIFS(Records!$M:$M,$A37,Records!$P:$P,D$5)</f>
        <v/>
      </c>
      <c r="E37">
        <f>COUNTIFS(Records!$M:$M,$A37,Records!$P:$P,E$5)</f>
        <v/>
      </c>
      <c r="F37">
        <f>COUNTIFS(Records!$M:$M,$A37,Records!$P:$P,F$5)</f>
        <v/>
      </c>
      <c r="G37">
        <f>COUNTIFS(Records!$M:$M,$A37,Records!$P:$P,G$5)</f>
        <v/>
      </c>
      <c r="H37">
        <f>COUNTIFS(Records!$M:$M,$A37,Records!$P:$P,H$5)</f>
        <v/>
      </c>
      <c r="I37">
        <f>COUNTIFS(Records!$M:$M,$A37,Records!$P:$P,I$5)</f>
        <v/>
      </c>
      <c r="J37">
        <f>COUNTIFS(Records!$M:$M,$A37,Records!$P:$P,J$5)</f>
        <v/>
      </c>
      <c r="K37">
        <f>COUNTIFS(Records!$M:$M,$A37,Records!$P:$P,K$5)</f>
        <v/>
      </c>
      <c r="L37">
        <f>COUNTIFS(Records!$M:$M,$A37)</f>
        <v/>
      </c>
      <c r="M37">
        <f>COUNTIFS(Records!$M:$M,$A37,Records!$Q:$Q,"Y")</f>
        <v/>
      </c>
    </row>
    <row r="38">
      <c r="A38" t="inlineStr">
        <is>
          <t>C3</t>
        </is>
      </c>
      <c r="B38" t="inlineStr">
        <is>
          <t>Digital geographies &amp; code/space</t>
        </is>
      </c>
      <c r="C38">
        <f>COUNTIFS(Records!$M:$M,$A38,Records!$P:$P,C$5)</f>
        <v/>
      </c>
      <c r="D38">
        <f>COUNTIFS(Records!$M:$M,$A38,Records!$P:$P,D$5)</f>
        <v/>
      </c>
      <c r="E38">
        <f>COUNTIFS(Records!$M:$M,$A38,Records!$P:$P,E$5)</f>
        <v/>
      </c>
      <c r="F38">
        <f>COUNTIFS(Records!$M:$M,$A38,Records!$P:$P,F$5)</f>
        <v/>
      </c>
      <c r="G38">
        <f>COUNTIFS(Records!$M:$M,$A38,Records!$P:$P,G$5)</f>
        <v/>
      </c>
      <c r="H38">
        <f>COUNTIFS(Records!$M:$M,$A38,Records!$P:$P,H$5)</f>
        <v/>
      </c>
      <c r="I38">
        <f>COUNTIFS(Records!$M:$M,$A38,Records!$P:$P,I$5)</f>
        <v/>
      </c>
      <c r="J38">
        <f>COUNTIFS(Records!$M:$M,$A38,Records!$P:$P,J$5)</f>
        <v/>
      </c>
      <c r="K38">
        <f>COUNTIFS(Records!$M:$M,$A38,Records!$P:$P,K$5)</f>
        <v/>
      </c>
      <c r="L38">
        <f>COUNTIFS(Records!$M:$M,$A38)</f>
        <v/>
      </c>
      <c r="M38">
        <f>COUNTIFS(Records!$M:$M,$A38,Records!$Q:$Q,"Y")</f>
        <v/>
      </c>
    </row>
    <row r="39">
      <c r="A39" t="inlineStr">
        <is>
          <t>C4</t>
        </is>
      </c>
      <c r="B39" t="inlineStr">
        <is>
          <t>Urban informatics &amp; urban computing</t>
        </is>
      </c>
      <c r="C39">
        <f>COUNTIFS(Records!$M:$M,$A39,Records!$P:$P,C$5)</f>
        <v/>
      </c>
      <c r="D39">
        <f>COUNTIFS(Records!$M:$M,$A39,Records!$P:$P,D$5)</f>
        <v/>
      </c>
      <c r="E39">
        <f>COUNTIFS(Records!$M:$M,$A39,Records!$P:$P,E$5)</f>
        <v/>
      </c>
      <c r="F39">
        <f>COUNTIFS(Records!$M:$M,$A39,Records!$P:$P,F$5)</f>
        <v/>
      </c>
      <c r="G39">
        <f>COUNTIFS(Records!$M:$M,$A39,Records!$P:$P,G$5)</f>
        <v/>
      </c>
      <c r="H39">
        <f>COUNTIFS(Records!$M:$M,$A39,Records!$P:$P,H$5)</f>
        <v/>
      </c>
      <c r="I39">
        <f>COUNTIFS(Records!$M:$M,$A39,Records!$P:$P,I$5)</f>
        <v/>
      </c>
      <c r="J39">
        <f>COUNTIFS(Records!$M:$M,$A39,Records!$P:$P,J$5)</f>
        <v/>
      </c>
      <c r="K39">
        <f>COUNTIFS(Records!$M:$M,$A39,Records!$P:$P,K$5)</f>
        <v/>
      </c>
      <c r="L39">
        <f>COUNTIFS(Records!$M:$M,$A39)</f>
        <v/>
      </c>
      <c r="M39">
        <f>COUNTIFS(Records!$M:$M,$A39,Records!$Q:$Q,"Y")</f>
        <v/>
      </c>
    </row>
    <row r="40">
      <c r="A40" t="inlineStr">
        <is>
          <t>C5</t>
        </is>
      </c>
      <c r="B40" t="inlineStr">
        <is>
          <t>Urban data governance &amp; data justice in cities</t>
        </is>
      </c>
      <c r="C40">
        <f>COUNTIFS(Records!$M:$M,$A40,Records!$P:$P,C$5)</f>
        <v/>
      </c>
      <c r="D40">
        <f>COUNTIFS(Records!$M:$M,$A40,Records!$P:$P,D$5)</f>
        <v/>
      </c>
      <c r="E40">
        <f>COUNTIFS(Records!$M:$M,$A40,Records!$P:$P,E$5)</f>
        <v/>
      </c>
      <c r="F40">
        <f>COUNTIFS(Records!$M:$M,$A40,Records!$P:$P,F$5)</f>
        <v/>
      </c>
      <c r="G40">
        <f>COUNTIFS(Records!$M:$M,$A40,Records!$P:$P,G$5)</f>
        <v/>
      </c>
      <c r="H40">
        <f>COUNTIFS(Records!$M:$M,$A40,Records!$P:$P,H$5)</f>
        <v/>
      </c>
      <c r="I40">
        <f>COUNTIFS(Records!$M:$M,$A40,Records!$P:$P,I$5)</f>
        <v/>
      </c>
      <c r="J40">
        <f>COUNTIFS(Records!$M:$M,$A40,Records!$P:$P,J$5)</f>
        <v/>
      </c>
      <c r="K40">
        <f>COUNTIFS(Records!$M:$M,$A40,Records!$P:$P,K$5)</f>
        <v/>
      </c>
      <c r="L40">
        <f>COUNTIFS(Records!$M:$M,$A40)</f>
        <v/>
      </c>
      <c r="M40">
        <f>COUNTIFS(Records!$M:$M,$A40,Records!$Q:$Q,"Y")</f>
        <v/>
      </c>
    </row>
    <row r="41">
      <c r="A41" t="inlineStr">
        <is>
          <t>C6</t>
        </is>
      </c>
      <c r="B41" t="inlineStr">
        <is>
          <t>Urban surveillance, policing &amp; biometrics in public space</t>
        </is>
      </c>
      <c r="C41">
        <f>COUNTIFS(Records!$M:$M,$A41,Records!$P:$P,C$5)</f>
        <v/>
      </c>
      <c r="D41">
        <f>COUNTIFS(Records!$M:$M,$A41,Records!$P:$P,D$5)</f>
        <v/>
      </c>
      <c r="E41">
        <f>COUNTIFS(Records!$M:$M,$A41,Records!$P:$P,E$5)</f>
        <v/>
      </c>
      <c r="F41">
        <f>COUNTIFS(Records!$M:$M,$A41,Records!$P:$P,F$5)</f>
        <v/>
      </c>
      <c r="G41">
        <f>COUNTIFS(Records!$M:$M,$A41,Records!$P:$P,G$5)</f>
        <v/>
      </c>
      <c r="H41">
        <f>COUNTIFS(Records!$M:$M,$A41,Records!$P:$P,H$5)</f>
        <v/>
      </c>
      <c r="I41">
        <f>COUNTIFS(Records!$M:$M,$A41,Records!$P:$P,I$5)</f>
        <v/>
      </c>
      <c r="J41">
        <f>COUNTIFS(Records!$M:$M,$A41,Records!$P:$P,J$5)</f>
        <v/>
      </c>
      <c r="K41">
        <f>COUNTIFS(Records!$M:$M,$A41,Records!$P:$P,K$5)</f>
        <v/>
      </c>
      <c r="L41">
        <f>COUNTIFS(Records!$M:$M,$A41)</f>
        <v/>
      </c>
      <c r="M41">
        <f>COUNTIFS(Records!$M:$M,$A41,Records!$Q:$Q,"Y")</f>
        <v/>
      </c>
    </row>
    <row r="42">
      <c r="A42" t="inlineStr">
        <is>
          <t>C7</t>
        </is>
      </c>
      <c r="B42" t="inlineStr">
        <is>
          <t>Algorithmic &amp; automated urban governance, municipal AI / GenAI</t>
        </is>
      </c>
      <c r="C42">
        <f>COUNTIFS(Records!$M:$M,$A42,Records!$P:$P,C$5)</f>
        <v/>
      </c>
      <c r="D42">
        <f>COUNTIFS(Records!$M:$M,$A42,Records!$P:$P,D$5)</f>
        <v/>
      </c>
      <c r="E42">
        <f>COUNTIFS(Records!$M:$M,$A42,Records!$P:$P,E$5)</f>
        <v/>
      </c>
      <c r="F42">
        <f>COUNTIFS(Records!$M:$M,$A42,Records!$P:$P,F$5)</f>
        <v/>
      </c>
      <c r="G42">
        <f>COUNTIFS(Records!$M:$M,$A42,Records!$P:$P,G$5)</f>
        <v/>
      </c>
      <c r="H42">
        <f>COUNTIFS(Records!$M:$M,$A42,Records!$P:$P,H$5)</f>
        <v/>
      </c>
      <c r="I42">
        <f>COUNTIFS(Records!$M:$M,$A42,Records!$P:$P,I$5)</f>
        <v/>
      </c>
      <c r="J42">
        <f>COUNTIFS(Records!$M:$M,$A42,Records!$P:$P,J$5)</f>
        <v/>
      </c>
      <c r="K42">
        <f>COUNTIFS(Records!$M:$M,$A42,Records!$P:$P,K$5)</f>
        <v/>
      </c>
      <c r="L42">
        <f>COUNTIFS(Records!$M:$M,$A42)</f>
        <v/>
      </c>
      <c r="M42">
        <f>COUNTIFS(Records!$M:$M,$A42,Records!$Q:$Q,"Y")</f>
        <v/>
      </c>
    </row>
    <row r="43">
      <c r="A43" t="inlineStr">
        <is>
          <t>C8</t>
        </is>
      </c>
      <c r="B43" t="inlineStr">
        <is>
          <t>City-level DPI &amp; urban e-government</t>
        </is>
      </c>
      <c r="C43">
        <f>COUNTIFS(Records!$M:$M,$A43,Records!$P:$P,C$5)</f>
        <v/>
      </c>
      <c r="D43">
        <f>COUNTIFS(Records!$M:$M,$A43,Records!$P:$P,D$5)</f>
        <v/>
      </c>
      <c r="E43">
        <f>COUNTIFS(Records!$M:$M,$A43,Records!$P:$P,E$5)</f>
        <v/>
      </c>
      <c r="F43">
        <f>COUNTIFS(Records!$M:$M,$A43,Records!$P:$P,F$5)</f>
        <v/>
      </c>
      <c r="G43">
        <f>COUNTIFS(Records!$M:$M,$A43,Records!$P:$P,G$5)</f>
        <v/>
      </c>
      <c r="H43">
        <f>COUNTIFS(Records!$M:$M,$A43,Records!$P:$P,H$5)</f>
        <v/>
      </c>
      <c r="I43">
        <f>COUNTIFS(Records!$M:$M,$A43,Records!$P:$P,I$5)</f>
        <v/>
      </c>
      <c r="J43">
        <f>COUNTIFS(Records!$M:$M,$A43,Records!$P:$P,J$5)</f>
        <v/>
      </c>
      <c r="K43">
        <f>COUNTIFS(Records!$M:$M,$A43,Records!$P:$P,K$5)</f>
        <v/>
      </c>
      <c r="L43">
        <f>COUNTIFS(Records!$M:$M,$A43)</f>
        <v/>
      </c>
      <c r="M43">
        <f>COUNTIFS(Records!$M:$M,$A43,Records!$Q:$Q,"Y")</f>
        <v/>
      </c>
    </row>
    <row r="44">
      <c r="A44" t="inlineStr">
        <is>
          <t>C9</t>
        </is>
      </c>
      <c r="B44" t="inlineStr">
        <is>
          <t>Digital mobility (ride-hailing, MaaS, digital ticketing, transit apps)</t>
        </is>
      </c>
      <c r="C44">
        <f>COUNTIFS(Records!$M:$M,$A44,Records!$P:$P,C$5)</f>
        <v/>
      </c>
      <c r="D44">
        <f>COUNTIFS(Records!$M:$M,$A44,Records!$P:$P,D$5)</f>
        <v/>
      </c>
      <c r="E44">
        <f>COUNTIFS(Records!$M:$M,$A44,Records!$P:$P,E$5)</f>
        <v/>
      </c>
      <c r="F44">
        <f>COUNTIFS(Records!$M:$M,$A44,Records!$P:$P,F$5)</f>
        <v/>
      </c>
      <c r="G44">
        <f>COUNTIFS(Records!$M:$M,$A44,Records!$P:$P,G$5)</f>
        <v/>
      </c>
      <c r="H44">
        <f>COUNTIFS(Records!$M:$M,$A44,Records!$P:$P,H$5)</f>
        <v/>
      </c>
      <c r="I44">
        <f>COUNTIFS(Records!$M:$M,$A44,Records!$P:$P,I$5)</f>
        <v/>
      </c>
      <c r="J44">
        <f>COUNTIFS(Records!$M:$M,$A44,Records!$P:$P,J$5)</f>
        <v/>
      </c>
      <c r="K44">
        <f>COUNTIFS(Records!$M:$M,$A44,Records!$P:$P,K$5)</f>
        <v/>
      </c>
      <c r="L44">
        <f>COUNTIFS(Records!$M:$M,$A44)</f>
        <v/>
      </c>
      <c r="M44">
        <f>COUNTIFS(Records!$M:$M,$A44,Records!$Q:$Q,"Y")</f>
        <v/>
      </c>
    </row>
    <row r="45">
      <c r="A45" t="inlineStr">
        <is>
          <t>C10</t>
        </is>
      </c>
      <c r="B45" t="inlineStr">
        <is>
          <t>Proptech, housing platforms &amp; short-term rentals</t>
        </is>
      </c>
      <c r="C45">
        <f>COUNTIFS(Records!$M:$M,$A45,Records!$P:$P,C$5)</f>
        <v/>
      </c>
      <c r="D45">
        <f>COUNTIFS(Records!$M:$M,$A45,Records!$P:$P,D$5)</f>
        <v/>
      </c>
      <c r="E45">
        <f>COUNTIFS(Records!$M:$M,$A45,Records!$P:$P,E$5)</f>
        <v/>
      </c>
      <c r="F45">
        <f>COUNTIFS(Records!$M:$M,$A45,Records!$P:$P,F$5)</f>
        <v/>
      </c>
      <c r="G45">
        <f>COUNTIFS(Records!$M:$M,$A45,Records!$P:$P,G$5)</f>
        <v/>
      </c>
      <c r="H45">
        <f>COUNTIFS(Records!$M:$M,$A45,Records!$P:$P,H$5)</f>
        <v/>
      </c>
      <c r="I45">
        <f>COUNTIFS(Records!$M:$M,$A45,Records!$P:$P,I$5)</f>
        <v/>
      </c>
      <c r="J45">
        <f>COUNTIFS(Records!$M:$M,$A45,Records!$P:$P,J$5)</f>
        <v/>
      </c>
      <c r="K45">
        <f>COUNTIFS(Records!$M:$M,$A45,Records!$P:$P,K$5)</f>
        <v/>
      </c>
      <c r="L45">
        <f>COUNTIFS(Records!$M:$M,$A45)</f>
        <v/>
      </c>
      <c r="M45">
        <f>COUNTIFS(Records!$M:$M,$A45,Records!$Q:$Q,"Y")</f>
        <v/>
      </c>
    </row>
    <row r="46">
      <c r="A46" t="inlineStr">
        <is>
          <t>C11</t>
        </is>
      </c>
      <c r="B46" t="inlineStr">
        <is>
          <t>Digital payments in urban economies (QR, UPI, mobile money)</t>
        </is>
      </c>
      <c r="C46">
        <f>COUNTIFS(Records!$M:$M,$A46,Records!$P:$P,C$5)</f>
        <v/>
      </c>
      <c r="D46">
        <f>COUNTIFS(Records!$M:$M,$A46,Records!$P:$P,D$5)</f>
        <v/>
      </c>
      <c r="E46">
        <f>COUNTIFS(Records!$M:$M,$A46,Records!$P:$P,E$5)</f>
        <v/>
      </c>
      <c r="F46">
        <f>COUNTIFS(Records!$M:$M,$A46,Records!$P:$P,F$5)</f>
        <v/>
      </c>
      <c r="G46">
        <f>COUNTIFS(Records!$M:$M,$A46,Records!$P:$P,G$5)</f>
        <v/>
      </c>
      <c r="H46">
        <f>COUNTIFS(Records!$M:$M,$A46,Records!$P:$P,H$5)</f>
        <v/>
      </c>
      <c r="I46">
        <f>COUNTIFS(Records!$M:$M,$A46,Records!$P:$P,I$5)</f>
        <v/>
      </c>
      <c r="J46">
        <f>COUNTIFS(Records!$M:$M,$A46,Records!$P:$P,J$5)</f>
        <v/>
      </c>
      <c r="K46">
        <f>COUNTIFS(Records!$M:$M,$A46,Records!$P:$P,K$5)</f>
        <v/>
      </c>
      <c r="L46">
        <f>COUNTIFS(Records!$M:$M,$A46)</f>
        <v/>
      </c>
      <c r="M46">
        <f>COUNTIFS(Records!$M:$M,$A46,Records!$Q:$Q,"Y")</f>
        <v/>
      </c>
    </row>
    <row r="47">
      <c r="A47" t="inlineStr">
        <is>
          <t>C12</t>
        </is>
      </c>
      <c r="B47" t="inlineStr">
        <is>
          <t>Civic tech, e-participation &amp; digital urban publics</t>
        </is>
      </c>
      <c r="C47">
        <f>COUNTIFS(Records!$M:$M,$A47,Records!$P:$P,C$5)</f>
        <v/>
      </c>
      <c r="D47">
        <f>COUNTIFS(Records!$M:$M,$A47,Records!$P:$P,D$5)</f>
        <v/>
      </c>
      <c r="E47">
        <f>COUNTIFS(Records!$M:$M,$A47,Records!$P:$P,E$5)</f>
        <v/>
      </c>
      <c r="F47">
        <f>COUNTIFS(Records!$M:$M,$A47,Records!$P:$P,F$5)</f>
        <v/>
      </c>
      <c r="G47">
        <f>COUNTIFS(Records!$M:$M,$A47,Records!$P:$P,G$5)</f>
        <v/>
      </c>
      <c r="H47">
        <f>COUNTIFS(Records!$M:$M,$A47,Records!$P:$P,H$5)</f>
        <v/>
      </c>
      <c r="I47">
        <f>COUNTIFS(Records!$M:$M,$A47,Records!$P:$P,I$5)</f>
        <v/>
      </c>
      <c r="J47">
        <f>COUNTIFS(Records!$M:$M,$A47,Records!$P:$P,J$5)</f>
        <v/>
      </c>
      <c r="K47">
        <f>COUNTIFS(Records!$M:$M,$A47,Records!$P:$P,K$5)</f>
        <v/>
      </c>
      <c r="L47">
        <f>COUNTIFS(Records!$M:$M,$A47)</f>
        <v/>
      </c>
      <c r="M47">
        <f>COUNTIFS(Records!$M:$M,$A47,Records!$Q:$Q,"Y")</f>
        <v/>
      </c>
    </row>
    <row r="48">
      <c r="A48" t="inlineStr">
        <is>
          <t>C13</t>
        </is>
      </c>
      <c r="B48" t="inlineStr">
        <is>
          <t>Digital twins, simulation &amp; visual rendering of cities</t>
        </is>
      </c>
      <c r="C48">
        <f>COUNTIFS(Records!$M:$M,$A48,Records!$P:$P,C$5)</f>
        <v/>
      </c>
      <c r="D48">
        <f>COUNTIFS(Records!$M:$M,$A48,Records!$P:$P,D$5)</f>
        <v/>
      </c>
      <c r="E48">
        <f>COUNTIFS(Records!$M:$M,$A48,Records!$P:$P,E$5)</f>
        <v/>
      </c>
      <c r="F48">
        <f>COUNTIFS(Records!$M:$M,$A48,Records!$P:$P,F$5)</f>
        <v/>
      </c>
      <c r="G48">
        <f>COUNTIFS(Records!$M:$M,$A48,Records!$P:$P,G$5)</f>
        <v/>
      </c>
      <c r="H48">
        <f>COUNTIFS(Records!$M:$M,$A48,Records!$P:$P,H$5)</f>
        <v/>
      </c>
      <c r="I48">
        <f>COUNTIFS(Records!$M:$M,$A48,Records!$P:$P,I$5)</f>
        <v/>
      </c>
      <c r="J48">
        <f>COUNTIFS(Records!$M:$M,$A48,Records!$P:$P,J$5)</f>
        <v/>
      </c>
      <c r="K48">
        <f>COUNTIFS(Records!$M:$M,$A48,Records!$P:$P,K$5)</f>
        <v/>
      </c>
      <c r="L48">
        <f>COUNTIFS(Records!$M:$M,$A48)</f>
        <v/>
      </c>
      <c r="M48">
        <f>COUNTIFS(Records!$M:$M,$A48,Records!$Q:$Q,"Y")</f>
        <v/>
      </c>
    </row>
    <row r="49">
      <c r="A49" t="inlineStr">
        <is>
          <t>C14</t>
        </is>
      </c>
      <c r="B49" t="inlineStr">
        <is>
          <t>Digital informality (informal settlements, vendors &amp; digital systems)</t>
        </is>
      </c>
      <c r="C49">
        <f>COUNTIFS(Records!$M:$M,$A49,Records!$P:$P,C$5)</f>
        <v/>
      </c>
      <c r="D49">
        <f>COUNTIFS(Records!$M:$M,$A49,Records!$P:$P,D$5)</f>
        <v/>
      </c>
      <c r="E49">
        <f>COUNTIFS(Records!$M:$M,$A49,Records!$P:$P,E$5)</f>
        <v/>
      </c>
      <c r="F49">
        <f>COUNTIFS(Records!$M:$M,$A49,Records!$P:$P,F$5)</f>
        <v/>
      </c>
      <c r="G49">
        <f>COUNTIFS(Records!$M:$M,$A49,Records!$P:$P,G$5)</f>
        <v/>
      </c>
      <c r="H49">
        <f>COUNTIFS(Records!$M:$M,$A49,Records!$P:$P,H$5)</f>
        <v/>
      </c>
      <c r="I49">
        <f>COUNTIFS(Records!$M:$M,$A49,Records!$P:$P,I$5)</f>
        <v/>
      </c>
      <c r="J49">
        <f>COUNTIFS(Records!$M:$M,$A49,Records!$P:$P,J$5)</f>
        <v/>
      </c>
      <c r="K49">
        <f>COUNTIFS(Records!$M:$M,$A49,Records!$P:$P,K$5)</f>
        <v/>
      </c>
      <c r="L49">
        <f>COUNTIFS(Records!$M:$M,$A49)</f>
        <v/>
      </c>
      <c r="M49">
        <f>COUNTIFS(Records!$M:$M,$A49,Records!$Q:$Q,"Y")</f>
        <v/>
      </c>
    </row>
    <row r="50">
      <c r="A50" t="inlineStr">
        <is>
          <t>C15</t>
        </is>
      </c>
      <c r="B50" t="inlineStr">
        <is>
          <t>Gig work in the city (urban and spatial focus)</t>
        </is>
      </c>
      <c r="C50">
        <f>COUNTIFS(Records!$M:$M,$A50,Records!$P:$P,C$5)</f>
        <v/>
      </c>
      <c r="D50">
        <f>COUNTIFS(Records!$M:$M,$A50,Records!$P:$P,D$5)</f>
        <v/>
      </c>
      <c r="E50">
        <f>COUNTIFS(Records!$M:$M,$A50,Records!$P:$P,E$5)</f>
        <v/>
      </c>
      <c r="F50">
        <f>COUNTIFS(Records!$M:$M,$A50,Records!$P:$P,F$5)</f>
        <v/>
      </c>
      <c r="G50">
        <f>COUNTIFS(Records!$M:$M,$A50,Records!$P:$P,G$5)</f>
        <v/>
      </c>
      <c r="H50">
        <f>COUNTIFS(Records!$M:$M,$A50,Records!$P:$P,H$5)</f>
        <v/>
      </c>
      <c r="I50">
        <f>COUNTIFS(Records!$M:$M,$A50,Records!$P:$P,I$5)</f>
        <v/>
      </c>
      <c r="J50">
        <f>COUNTIFS(Records!$M:$M,$A50,Records!$P:$P,J$5)</f>
        <v/>
      </c>
      <c r="K50">
        <f>COUNTIFS(Records!$M:$M,$A50,Records!$P:$P,K$5)</f>
        <v/>
      </c>
      <c r="L50">
        <f>COUNTIFS(Records!$M:$M,$A50)</f>
        <v/>
      </c>
      <c r="M50">
        <f>COUNTIFS(Records!$M:$M,$A50,Records!$Q:$Q,"Y")</f>
        <v/>
      </c>
    </row>
    <row r="51">
      <c r="A51" t="inlineStr">
        <is>
          <t>C16</t>
        </is>
      </c>
      <c r="B51" t="inlineStr">
        <is>
          <t>Digital heritage, mapping &amp; representation of cities</t>
        </is>
      </c>
      <c r="C51">
        <f>COUNTIFS(Records!$M:$M,$A51,Records!$P:$P,C$5)</f>
        <v/>
      </c>
      <c r="D51">
        <f>COUNTIFS(Records!$M:$M,$A51,Records!$P:$P,D$5)</f>
        <v/>
      </c>
      <c r="E51">
        <f>COUNTIFS(Records!$M:$M,$A51,Records!$P:$P,E$5)</f>
        <v/>
      </c>
      <c r="F51">
        <f>COUNTIFS(Records!$M:$M,$A51,Records!$P:$P,F$5)</f>
        <v/>
      </c>
      <c r="G51">
        <f>COUNTIFS(Records!$M:$M,$A51,Records!$P:$P,G$5)</f>
        <v/>
      </c>
      <c r="H51">
        <f>COUNTIFS(Records!$M:$M,$A51,Records!$P:$P,H$5)</f>
        <v/>
      </c>
      <c r="I51">
        <f>COUNTIFS(Records!$M:$M,$A51,Records!$P:$P,I$5)</f>
        <v/>
      </c>
      <c r="J51">
        <f>COUNTIFS(Records!$M:$M,$A51,Records!$P:$P,J$5)</f>
        <v/>
      </c>
      <c r="K51">
        <f>COUNTIFS(Records!$M:$M,$A51,Records!$P:$P,K$5)</f>
        <v/>
      </c>
      <c r="L51">
        <f>COUNTIFS(Records!$M:$M,$A51)</f>
        <v/>
      </c>
      <c r="M51">
        <f>COUNTIFS(Records!$M:$M,$A51,Records!$Q:$Q,"Y")</f>
        <v/>
      </c>
    </row>
    <row r="52">
      <c r="A52" t="inlineStr">
        <is>
          <t>C17</t>
        </is>
      </c>
      <c r="B52" t="inlineStr">
        <is>
          <t>Urban cybersecurity &amp; cyber-physical infrastructure</t>
        </is>
      </c>
      <c r="C52">
        <f>COUNTIFS(Records!$M:$M,$A52,Records!$P:$P,C$5)</f>
        <v/>
      </c>
      <c r="D52">
        <f>COUNTIFS(Records!$M:$M,$A52,Records!$P:$P,D$5)</f>
        <v/>
      </c>
      <c r="E52">
        <f>COUNTIFS(Records!$M:$M,$A52,Records!$P:$P,E$5)</f>
        <v/>
      </c>
      <c r="F52">
        <f>COUNTIFS(Records!$M:$M,$A52,Records!$P:$P,F$5)</f>
        <v/>
      </c>
      <c r="G52">
        <f>COUNTIFS(Records!$M:$M,$A52,Records!$P:$P,G$5)</f>
        <v/>
      </c>
      <c r="H52">
        <f>COUNTIFS(Records!$M:$M,$A52,Records!$P:$P,H$5)</f>
        <v/>
      </c>
      <c r="I52">
        <f>COUNTIFS(Records!$M:$M,$A52,Records!$P:$P,I$5)</f>
        <v/>
      </c>
      <c r="J52">
        <f>COUNTIFS(Records!$M:$M,$A52,Records!$P:$P,J$5)</f>
        <v/>
      </c>
      <c r="K52">
        <f>COUNTIFS(Records!$M:$M,$A52,Records!$P:$P,K$5)</f>
        <v/>
      </c>
      <c r="L52">
        <f>COUNTIFS(Records!$M:$M,$A52)</f>
        <v/>
      </c>
      <c r="M52">
        <f>COUNTIFS(Records!$M:$M,$A52,Records!$Q:$Q,"Y")</f>
        <v/>
      </c>
    </row>
    <row r="53">
      <c r="A53" t="inlineStr">
        <is>
          <t>C18</t>
        </is>
      </c>
      <c r="B53" t="inlineStr">
        <is>
          <t>Neighbourhood platforms &amp; digital public space (WhatsApp, Nextdoor, RWA groups)</t>
        </is>
      </c>
      <c r="C53">
        <f>COUNTIFS(Records!$M:$M,$A53,Records!$P:$P,C$5)</f>
        <v/>
      </c>
      <c r="D53">
        <f>COUNTIFS(Records!$M:$M,$A53,Records!$P:$P,D$5)</f>
        <v/>
      </c>
      <c r="E53">
        <f>COUNTIFS(Records!$M:$M,$A53,Records!$P:$P,E$5)</f>
        <v/>
      </c>
      <c r="F53">
        <f>COUNTIFS(Records!$M:$M,$A53,Records!$P:$P,F$5)</f>
        <v/>
      </c>
      <c r="G53">
        <f>COUNTIFS(Records!$M:$M,$A53,Records!$P:$P,G$5)</f>
        <v/>
      </c>
      <c r="H53">
        <f>COUNTIFS(Records!$M:$M,$A53,Records!$P:$P,H$5)</f>
        <v/>
      </c>
      <c r="I53">
        <f>COUNTIFS(Records!$M:$M,$A53,Records!$P:$P,I$5)</f>
        <v/>
      </c>
      <c r="J53">
        <f>COUNTIFS(Records!$M:$M,$A53,Records!$P:$P,J$5)</f>
        <v/>
      </c>
      <c r="K53">
        <f>COUNTIFS(Records!$M:$M,$A53,Records!$P:$P,K$5)</f>
        <v/>
      </c>
      <c r="L53">
        <f>COUNTIFS(Records!$M:$M,$A53)</f>
        <v/>
      </c>
      <c r="M53">
        <f>COUNTIFS(Records!$M:$M,$A53,Records!$Q:$Q,"Y")</f>
        <v/>
      </c>
    </row>
    <row r="54">
      <c r="B54" s="6" t="inlineStr">
        <is>
          <t>All themes</t>
        </is>
      </c>
      <c r="C54" s="6">
        <f>SUM(C6:C53)</f>
        <v/>
      </c>
      <c r="D54" s="6">
        <f>SUM(D6:D53)</f>
        <v/>
      </c>
      <c r="E54" s="6">
        <f>SUM(E6:E53)</f>
        <v/>
      </c>
      <c r="F54" s="6">
        <f>SUM(F6:F53)</f>
        <v/>
      </c>
      <c r="G54" s="6">
        <f>SUM(G6:G53)</f>
        <v/>
      </c>
      <c r="H54" s="6">
        <f>SUM(H6:H53)</f>
        <v/>
      </c>
      <c r="I54" s="6">
        <f>SUM(I6:I53)</f>
        <v/>
      </c>
      <c r="J54" s="6">
        <f>SUM(J6:J53)</f>
        <v/>
      </c>
      <c r="K54" s="6">
        <f>SUM(K6:K53)</f>
        <v/>
      </c>
      <c r="L54" s="6">
        <f>SUM(L6:L53)</f>
        <v/>
      </c>
      <c r="M54" s="6">
        <f>SUM(M6:M53)</f>
        <v/>
      </c>
    </row>
    <row r="57">
      <c r="A57" s="6" t="inlineStr">
        <is>
          <t>Theme × method (inferred from abstract)</t>
        </is>
      </c>
    </row>
    <row r="58">
      <c r="A58" s="7" t="inlineStr">
        <is>
          <t>Theme</t>
        </is>
      </c>
      <c r="B58" s="7" t="inlineStr">
        <is>
          <t>Name</t>
        </is>
      </c>
      <c r="C58" s="7" t="inlineStr">
        <is>
          <t>qualitative</t>
        </is>
      </c>
      <c r="D58" s="7" t="inlineStr">
        <is>
          <t>quantitative</t>
        </is>
      </c>
      <c r="E58" s="7" t="inlineStr">
        <is>
          <t>mixed</t>
        </is>
      </c>
      <c r="F58" s="7" t="inlineStr">
        <is>
          <t>review</t>
        </is>
      </c>
      <c r="G58" s="7" t="inlineStr">
        <is>
          <t>conceptual</t>
        </is>
      </c>
      <c r="H58" s="7" t="inlineStr">
        <is>
          <t>computational</t>
        </is>
      </c>
      <c r="I58" s="7" t="inlineStr">
        <is>
          <t>unclear</t>
        </is>
      </c>
      <c r="J58" s="7" t="inlineStr">
        <is>
          <t>Total</t>
        </is>
      </c>
      <c r="K58" s="7" t="inlineStr">
        <is>
          <t>India flag</t>
        </is>
      </c>
    </row>
    <row r="59">
      <c r="A59" t="inlineStr">
        <is>
          <t>A1</t>
        </is>
      </c>
      <c r="B59" t="inlineStr">
        <is>
          <t>Urban governance, decentralisation &amp; municipal finance</t>
        </is>
      </c>
      <c r="C59">
        <f>COUNTIFS(Records!$M:$M,$A59,Records!$T:$T,C$58)</f>
        <v/>
      </c>
      <c r="D59">
        <f>COUNTIFS(Records!$M:$M,$A59,Records!$T:$T,D$58)</f>
        <v/>
      </c>
      <c r="E59">
        <f>COUNTIFS(Records!$M:$M,$A59,Records!$T:$T,E$58)</f>
        <v/>
      </c>
      <c r="F59">
        <f>COUNTIFS(Records!$M:$M,$A59,Records!$T:$T,F$58)</f>
        <v/>
      </c>
      <c r="G59">
        <f>COUNTIFS(Records!$M:$M,$A59,Records!$T:$T,G$58)</f>
        <v/>
      </c>
      <c r="H59">
        <f>COUNTIFS(Records!$M:$M,$A59,Records!$T:$T,H$58)</f>
        <v/>
      </c>
      <c r="I59">
        <f>COUNTIFS(Records!$M:$M,$A59,Records!$T:$T,I$58)</f>
        <v/>
      </c>
      <c r="J59">
        <f>COUNTIFS(Records!$M:$M,$A59)</f>
        <v/>
      </c>
      <c r="K59">
        <f>COUNTIFS(Records!$M:$M,$A59,Records!$Q:$Q,"Y")</f>
        <v/>
      </c>
    </row>
    <row r="60">
      <c r="A60" t="inlineStr">
        <is>
          <t>A2</t>
        </is>
      </c>
      <c r="B60" t="inlineStr">
        <is>
          <t>Planning, master plans &amp; land-use regulation</t>
        </is>
      </c>
      <c r="C60">
        <f>COUNTIFS(Records!$M:$M,$A60,Records!$T:$T,C$58)</f>
        <v/>
      </c>
      <c r="D60">
        <f>COUNTIFS(Records!$M:$M,$A60,Records!$T:$T,D$58)</f>
        <v/>
      </c>
      <c r="E60">
        <f>COUNTIFS(Records!$M:$M,$A60,Records!$T:$T,E$58)</f>
        <v/>
      </c>
      <c r="F60">
        <f>COUNTIFS(Records!$M:$M,$A60,Records!$T:$T,F$58)</f>
        <v/>
      </c>
      <c r="G60">
        <f>COUNTIFS(Records!$M:$M,$A60,Records!$T:$T,G$58)</f>
        <v/>
      </c>
      <c r="H60">
        <f>COUNTIFS(Records!$M:$M,$A60,Records!$T:$T,H$58)</f>
        <v/>
      </c>
      <c r="I60">
        <f>COUNTIFS(Records!$M:$M,$A60,Records!$T:$T,I$58)</f>
        <v/>
      </c>
      <c r="J60">
        <f>COUNTIFS(Records!$M:$M,$A60)</f>
        <v/>
      </c>
      <c r="K60">
        <f>COUNTIFS(Records!$M:$M,$A60,Records!$Q:$Q,"Y")</f>
        <v/>
      </c>
    </row>
    <row r="61">
      <c r="A61" t="inlineStr">
        <is>
          <t>A3</t>
        </is>
      </c>
      <c r="B61" t="inlineStr">
        <is>
          <t>Housing, informality &amp; slums</t>
        </is>
      </c>
      <c r="C61">
        <f>COUNTIFS(Records!$M:$M,$A61,Records!$T:$T,C$58)</f>
        <v/>
      </c>
      <c r="D61">
        <f>COUNTIFS(Records!$M:$M,$A61,Records!$T:$T,D$58)</f>
        <v/>
      </c>
      <c r="E61">
        <f>COUNTIFS(Records!$M:$M,$A61,Records!$T:$T,E$58)</f>
        <v/>
      </c>
      <c r="F61">
        <f>COUNTIFS(Records!$M:$M,$A61,Records!$T:$T,F$58)</f>
        <v/>
      </c>
      <c r="G61">
        <f>COUNTIFS(Records!$M:$M,$A61,Records!$T:$T,G$58)</f>
        <v/>
      </c>
      <c r="H61">
        <f>COUNTIFS(Records!$M:$M,$A61,Records!$T:$T,H$58)</f>
        <v/>
      </c>
      <c r="I61">
        <f>COUNTIFS(Records!$M:$M,$A61,Records!$T:$T,I$58)</f>
        <v/>
      </c>
      <c r="J61">
        <f>COUNTIFS(Records!$M:$M,$A61)</f>
        <v/>
      </c>
      <c r="K61">
        <f>COUNTIFS(Records!$M:$M,$A61,Records!$Q:$Q,"Y")</f>
        <v/>
      </c>
    </row>
    <row r="62">
      <c r="A62" t="inlineStr">
        <is>
          <t>A4</t>
        </is>
      </c>
      <c r="B62" t="inlineStr">
        <is>
          <t>Eviction, resettlement &amp; displacement</t>
        </is>
      </c>
      <c r="C62">
        <f>COUNTIFS(Records!$M:$M,$A62,Records!$T:$T,C$58)</f>
        <v/>
      </c>
      <c r="D62">
        <f>COUNTIFS(Records!$M:$M,$A62,Records!$T:$T,D$58)</f>
        <v/>
      </c>
      <c r="E62">
        <f>COUNTIFS(Records!$M:$M,$A62,Records!$T:$T,E$58)</f>
        <v/>
      </c>
      <c r="F62">
        <f>COUNTIFS(Records!$M:$M,$A62,Records!$T:$T,F$58)</f>
        <v/>
      </c>
      <c r="G62">
        <f>COUNTIFS(Records!$M:$M,$A62,Records!$T:$T,G$58)</f>
        <v/>
      </c>
      <c r="H62">
        <f>COUNTIFS(Records!$M:$M,$A62,Records!$T:$T,H$58)</f>
        <v/>
      </c>
      <c r="I62">
        <f>COUNTIFS(Records!$M:$M,$A62,Records!$T:$T,I$58)</f>
        <v/>
      </c>
      <c r="J62">
        <f>COUNTIFS(Records!$M:$M,$A62)</f>
        <v/>
      </c>
      <c r="K62">
        <f>COUNTIFS(Records!$M:$M,$A62,Records!$Q:$Q,"Y")</f>
        <v/>
      </c>
    </row>
    <row r="63">
      <c r="A63" t="inlineStr">
        <is>
          <t>A5</t>
        </is>
      </c>
      <c r="B63" t="inlineStr">
        <is>
          <t>Land, peri-urban &amp; extended urbanisation</t>
        </is>
      </c>
      <c r="C63">
        <f>COUNTIFS(Records!$M:$M,$A63,Records!$T:$T,C$58)</f>
        <v/>
      </c>
      <c r="D63">
        <f>COUNTIFS(Records!$M:$M,$A63,Records!$T:$T,D$58)</f>
        <v/>
      </c>
      <c r="E63">
        <f>COUNTIFS(Records!$M:$M,$A63,Records!$T:$T,E$58)</f>
        <v/>
      </c>
      <c r="F63">
        <f>COUNTIFS(Records!$M:$M,$A63,Records!$T:$T,F$58)</f>
        <v/>
      </c>
      <c r="G63">
        <f>COUNTIFS(Records!$M:$M,$A63,Records!$T:$T,G$58)</f>
        <v/>
      </c>
      <c r="H63">
        <f>COUNTIFS(Records!$M:$M,$A63,Records!$T:$T,H$58)</f>
        <v/>
      </c>
      <c r="I63">
        <f>COUNTIFS(Records!$M:$M,$A63,Records!$T:$T,I$58)</f>
        <v/>
      </c>
      <c r="J63">
        <f>COUNTIFS(Records!$M:$M,$A63)</f>
        <v/>
      </c>
      <c r="K63">
        <f>COUNTIFS(Records!$M:$M,$A63,Records!$Q:$Q,"Y")</f>
        <v/>
      </c>
    </row>
    <row r="64">
      <c r="A64" t="inlineStr">
        <is>
          <t>A6</t>
        </is>
      </c>
      <c r="B64" t="inlineStr">
        <is>
          <t>Small towns, census towns &amp; secondary cities</t>
        </is>
      </c>
      <c r="C64">
        <f>COUNTIFS(Records!$M:$M,$A64,Records!$T:$T,C$58)</f>
        <v/>
      </c>
      <c r="D64">
        <f>COUNTIFS(Records!$M:$M,$A64,Records!$T:$T,D$58)</f>
        <v/>
      </c>
      <c r="E64">
        <f>COUNTIFS(Records!$M:$M,$A64,Records!$T:$T,E$58)</f>
        <v/>
      </c>
      <c r="F64">
        <f>COUNTIFS(Records!$M:$M,$A64,Records!$T:$T,F$58)</f>
        <v/>
      </c>
      <c r="G64">
        <f>COUNTIFS(Records!$M:$M,$A64,Records!$T:$T,G$58)</f>
        <v/>
      </c>
      <c r="H64">
        <f>COUNTIFS(Records!$M:$M,$A64,Records!$T:$T,H$58)</f>
        <v/>
      </c>
      <c r="I64">
        <f>COUNTIFS(Records!$M:$M,$A64,Records!$T:$T,I$58)</f>
        <v/>
      </c>
      <c r="J64">
        <f>COUNTIFS(Records!$M:$M,$A64)</f>
        <v/>
      </c>
      <c r="K64">
        <f>COUNTIFS(Records!$M:$M,$A64,Records!$Q:$Q,"Y")</f>
        <v/>
      </c>
    </row>
    <row r="65">
      <c r="A65" t="inlineStr">
        <is>
          <t>A7</t>
        </is>
      </c>
      <c r="B65" t="inlineStr">
        <is>
          <t>Urban infrastructure (water, sanitation, energy) &amp; infrastructural citizenship</t>
        </is>
      </c>
      <c r="C65">
        <f>COUNTIFS(Records!$M:$M,$A65,Records!$T:$T,C$58)</f>
        <v/>
      </c>
      <c r="D65">
        <f>COUNTIFS(Records!$M:$M,$A65,Records!$T:$T,D$58)</f>
        <v/>
      </c>
      <c r="E65">
        <f>COUNTIFS(Records!$M:$M,$A65,Records!$T:$T,E$58)</f>
        <v/>
      </c>
      <c r="F65">
        <f>COUNTIFS(Records!$M:$M,$A65,Records!$T:$T,F$58)</f>
        <v/>
      </c>
      <c r="G65">
        <f>COUNTIFS(Records!$M:$M,$A65,Records!$T:$T,G$58)</f>
        <v/>
      </c>
      <c r="H65">
        <f>COUNTIFS(Records!$M:$M,$A65,Records!$T:$T,H$58)</f>
        <v/>
      </c>
      <c r="I65">
        <f>COUNTIFS(Records!$M:$M,$A65,Records!$T:$T,I$58)</f>
        <v/>
      </c>
      <c r="J65">
        <f>COUNTIFS(Records!$M:$M,$A65)</f>
        <v/>
      </c>
      <c r="K65">
        <f>COUNTIFS(Records!$M:$M,$A65,Records!$Q:$Q,"Y")</f>
        <v/>
      </c>
    </row>
    <row r="66">
      <c r="A66" t="inlineStr">
        <is>
          <t>A8</t>
        </is>
      </c>
      <c r="B66" t="inlineStr">
        <is>
          <t>Mobility &amp; transport (social science)</t>
        </is>
      </c>
      <c r="C66">
        <f>COUNTIFS(Records!$M:$M,$A66,Records!$T:$T,C$58)</f>
        <v/>
      </c>
      <c r="D66">
        <f>COUNTIFS(Records!$M:$M,$A66,Records!$T:$T,D$58)</f>
        <v/>
      </c>
      <c r="E66">
        <f>COUNTIFS(Records!$M:$M,$A66,Records!$T:$T,E$58)</f>
        <v/>
      </c>
      <c r="F66">
        <f>COUNTIFS(Records!$M:$M,$A66,Records!$T:$T,F$58)</f>
        <v/>
      </c>
      <c r="G66">
        <f>COUNTIFS(Records!$M:$M,$A66,Records!$T:$T,G$58)</f>
        <v/>
      </c>
      <c r="H66">
        <f>COUNTIFS(Records!$M:$M,$A66,Records!$T:$T,H$58)</f>
        <v/>
      </c>
      <c r="I66">
        <f>COUNTIFS(Records!$M:$M,$A66,Records!$T:$T,I$58)</f>
        <v/>
      </c>
      <c r="J66">
        <f>COUNTIFS(Records!$M:$M,$A66)</f>
        <v/>
      </c>
      <c r="K66">
        <f>COUNTIFS(Records!$M:$M,$A66,Records!$Q:$Q,"Y")</f>
        <v/>
      </c>
    </row>
    <row r="67">
      <c r="A67" t="inlineStr">
        <is>
          <t>A9</t>
        </is>
      </c>
      <c r="B67" t="inlineStr">
        <is>
          <t>Public space, publicness &amp; the street</t>
        </is>
      </c>
      <c r="C67">
        <f>COUNTIFS(Records!$M:$M,$A67,Records!$T:$T,C$58)</f>
        <v/>
      </c>
      <c r="D67">
        <f>COUNTIFS(Records!$M:$M,$A67,Records!$T:$T,D$58)</f>
        <v/>
      </c>
      <c r="E67">
        <f>COUNTIFS(Records!$M:$M,$A67,Records!$T:$T,E$58)</f>
        <v/>
      </c>
      <c r="F67">
        <f>COUNTIFS(Records!$M:$M,$A67,Records!$T:$T,F$58)</f>
        <v/>
      </c>
      <c r="G67">
        <f>COUNTIFS(Records!$M:$M,$A67,Records!$T:$T,G$58)</f>
        <v/>
      </c>
      <c r="H67">
        <f>COUNTIFS(Records!$M:$M,$A67,Records!$T:$T,H$58)</f>
        <v/>
      </c>
      <c r="I67">
        <f>COUNTIFS(Records!$M:$M,$A67,Records!$T:$T,I$58)</f>
        <v/>
      </c>
      <c r="J67">
        <f>COUNTIFS(Records!$M:$M,$A67)</f>
        <v/>
      </c>
      <c r="K67">
        <f>COUNTIFS(Records!$M:$M,$A67,Records!$Q:$Q,"Y")</f>
        <v/>
      </c>
    </row>
    <row r="68">
      <c r="A68" t="inlineStr">
        <is>
          <t>A10</t>
        </is>
      </c>
      <c r="B68" t="inlineStr">
        <is>
          <t>Urban economy, informal work &amp; street vending</t>
        </is>
      </c>
      <c r="C68">
        <f>COUNTIFS(Records!$M:$M,$A68,Records!$T:$T,C$58)</f>
        <v/>
      </c>
      <c r="D68">
        <f>COUNTIFS(Records!$M:$M,$A68,Records!$T:$T,D$58)</f>
        <v/>
      </c>
      <c r="E68">
        <f>COUNTIFS(Records!$M:$M,$A68,Records!$T:$T,E$58)</f>
        <v/>
      </c>
      <c r="F68">
        <f>COUNTIFS(Records!$M:$M,$A68,Records!$T:$T,F$58)</f>
        <v/>
      </c>
      <c r="G68">
        <f>COUNTIFS(Records!$M:$M,$A68,Records!$T:$T,G$58)</f>
        <v/>
      </c>
      <c r="H68">
        <f>COUNTIFS(Records!$M:$M,$A68,Records!$T:$T,H$58)</f>
        <v/>
      </c>
      <c r="I68">
        <f>COUNTIFS(Records!$M:$M,$A68,Records!$T:$T,I$58)</f>
        <v/>
      </c>
      <c r="J68">
        <f>COUNTIFS(Records!$M:$M,$A68)</f>
        <v/>
      </c>
      <c r="K68">
        <f>COUNTIFS(Records!$M:$M,$A68,Records!$Q:$Q,"Y")</f>
        <v/>
      </c>
    </row>
    <row r="69">
      <c r="A69" t="inlineStr">
        <is>
          <t>A11</t>
        </is>
      </c>
      <c r="B69" t="inlineStr">
        <is>
          <t>Migration &amp; the city</t>
        </is>
      </c>
      <c r="C69">
        <f>COUNTIFS(Records!$M:$M,$A69,Records!$T:$T,C$58)</f>
        <v/>
      </c>
      <c r="D69">
        <f>COUNTIFS(Records!$M:$M,$A69,Records!$T:$T,D$58)</f>
        <v/>
      </c>
      <c r="E69">
        <f>COUNTIFS(Records!$M:$M,$A69,Records!$T:$T,E$58)</f>
        <v/>
      </c>
      <c r="F69">
        <f>COUNTIFS(Records!$M:$M,$A69,Records!$T:$T,F$58)</f>
        <v/>
      </c>
      <c r="G69">
        <f>COUNTIFS(Records!$M:$M,$A69,Records!$T:$T,G$58)</f>
        <v/>
      </c>
      <c r="H69">
        <f>COUNTIFS(Records!$M:$M,$A69,Records!$T:$T,H$58)</f>
        <v/>
      </c>
      <c r="I69">
        <f>COUNTIFS(Records!$M:$M,$A69,Records!$T:$T,I$58)</f>
        <v/>
      </c>
      <c r="J69">
        <f>COUNTIFS(Records!$M:$M,$A69)</f>
        <v/>
      </c>
      <c r="K69">
        <f>COUNTIFS(Records!$M:$M,$A69,Records!$Q:$Q,"Y")</f>
        <v/>
      </c>
    </row>
    <row r="70">
      <c r="A70" t="inlineStr">
        <is>
          <t>A12</t>
        </is>
      </c>
      <c r="B70" t="inlineStr">
        <is>
          <t>Gender, caste, class &amp; the city</t>
        </is>
      </c>
      <c r="C70">
        <f>COUNTIFS(Records!$M:$M,$A70,Records!$T:$T,C$58)</f>
        <v/>
      </c>
      <c r="D70">
        <f>COUNTIFS(Records!$M:$M,$A70,Records!$T:$T,D$58)</f>
        <v/>
      </c>
      <c r="E70">
        <f>COUNTIFS(Records!$M:$M,$A70,Records!$T:$T,E$58)</f>
        <v/>
      </c>
      <c r="F70">
        <f>COUNTIFS(Records!$M:$M,$A70,Records!$T:$T,F$58)</f>
        <v/>
      </c>
      <c r="G70">
        <f>COUNTIFS(Records!$M:$M,$A70,Records!$T:$T,G$58)</f>
        <v/>
      </c>
      <c r="H70">
        <f>COUNTIFS(Records!$M:$M,$A70,Records!$T:$T,H$58)</f>
        <v/>
      </c>
      <c r="I70">
        <f>COUNTIFS(Records!$M:$M,$A70,Records!$T:$T,I$58)</f>
        <v/>
      </c>
      <c r="J70">
        <f>COUNTIFS(Records!$M:$M,$A70)</f>
        <v/>
      </c>
      <c r="K70">
        <f>COUNTIFS(Records!$M:$M,$A70,Records!$Q:$Q,"Y")</f>
        <v/>
      </c>
    </row>
    <row r="71">
      <c r="A71" t="inlineStr">
        <is>
          <t>A13</t>
        </is>
      </c>
      <c r="B71" t="inlineStr">
        <is>
          <t>Heritage, mega-events &amp; "world-class" city making</t>
        </is>
      </c>
      <c r="C71">
        <f>COUNTIFS(Records!$M:$M,$A71,Records!$T:$T,C$58)</f>
        <v/>
      </c>
      <c r="D71">
        <f>COUNTIFS(Records!$M:$M,$A71,Records!$T:$T,D$58)</f>
        <v/>
      </c>
      <c r="E71">
        <f>COUNTIFS(Records!$M:$M,$A71,Records!$T:$T,E$58)</f>
        <v/>
      </c>
      <c r="F71">
        <f>COUNTIFS(Records!$M:$M,$A71,Records!$T:$T,F$58)</f>
        <v/>
      </c>
      <c r="G71">
        <f>COUNTIFS(Records!$M:$M,$A71,Records!$T:$T,G$58)</f>
        <v/>
      </c>
      <c r="H71">
        <f>COUNTIFS(Records!$M:$M,$A71,Records!$T:$T,H$58)</f>
        <v/>
      </c>
      <c r="I71">
        <f>COUNTIFS(Records!$M:$M,$A71,Records!$T:$T,I$58)</f>
        <v/>
      </c>
      <c r="J71">
        <f>COUNTIFS(Records!$M:$M,$A71)</f>
        <v/>
      </c>
      <c r="K71">
        <f>COUNTIFS(Records!$M:$M,$A71,Records!$Q:$Q,"Y")</f>
        <v/>
      </c>
    </row>
    <row r="72">
      <c r="A72" t="inlineStr">
        <is>
          <t>A14</t>
        </is>
      </c>
      <c r="B72" t="inlineStr">
        <is>
          <t>Urban environment, climate &amp; risk</t>
        </is>
      </c>
      <c r="C72">
        <f>COUNTIFS(Records!$M:$M,$A72,Records!$T:$T,C$58)</f>
        <v/>
      </c>
      <c r="D72">
        <f>COUNTIFS(Records!$M:$M,$A72,Records!$T:$T,D$58)</f>
        <v/>
      </c>
      <c r="E72">
        <f>COUNTIFS(Records!$M:$M,$A72,Records!$T:$T,E$58)</f>
        <v/>
      </c>
      <c r="F72">
        <f>COUNTIFS(Records!$M:$M,$A72,Records!$T:$T,F$58)</f>
        <v/>
      </c>
      <c r="G72">
        <f>COUNTIFS(Records!$M:$M,$A72,Records!$T:$T,G$58)</f>
        <v/>
      </c>
      <c r="H72">
        <f>COUNTIFS(Records!$M:$M,$A72,Records!$T:$T,H$58)</f>
        <v/>
      </c>
      <c r="I72">
        <f>COUNTIFS(Records!$M:$M,$A72,Records!$T:$T,I$58)</f>
        <v/>
      </c>
      <c r="J72">
        <f>COUNTIFS(Records!$M:$M,$A72)</f>
        <v/>
      </c>
      <c r="K72">
        <f>COUNTIFS(Records!$M:$M,$A72,Records!$Q:$Q,"Y")</f>
        <v/>
      </c>
    </row>
    <row r="73">
      <c r="A73" t="inlineStr">
        <is>
          <t>A15</t>
        </is>
      </c>
      <c r="B73" t="inlineStr">
        <is>
          <t>Urban &amp; planning theory, Southern urbanism</t>
        </is>
      </c>
      <c r="C73">
        <f>COUNTIFS(Records!$M:$M,$A73,Records!$T:$T,C$58)</f>
        <v/>
      </c>
      <c r="D73">
        <f>COUNTIFS(Records!$M:$M,$A73,Records!$T:$T,D$58)</f>
        <v/>
      </c>
      <c r="E73">
        <f>COUNTIFS(Records!$M:$M,$A73,Records!$T:$T,E$58)</f>
        <v/>
      </c>
      <c r="F73">
        <f>COUNTIFS(Records!$M:$M,$A73,Records!$T:$T,F$58)</f>
        <v/>
      </c>
      <c r="G73">
        <f>COUNTIFS(Records!$M:$M,$A73,Records!$T:$T,G$58)</f>
        <v/>
      </c>
      <c r="H73">
        <f>COUNTIFS(Records!$M:$M,$A73,Records!$T:$T,H$58)</f>
        <v/>
      </c>
      <c r="I73">
        <f>COUNTIFS(Records!$M:$M,$A73,Records!$T:$T,I$58)</f>
        <v/>
      </c>
      <c r="J73">
        <f>COUNTIFS(Records!$M:$M,$A73)</f>
        <v/>
      </c>
      <c r="K73">
        <f>COUNTIFS(Records!$M:$M,$A73,Records!$Q:$Q,"Y")</f>
        <v/>
      </c>
    </row>
    <row r="74">
      <c r="A74" t="inlineStr">
        <is>
          <t>A16</t>
        </is>
      </c>
      <c r="B74" t="inlineStr">
        <is>
          <t>Night-time city &amp; urban time</t>
        </is>
      </c>
      <c r="C74">
        <f>COUNTIFS(Records!$M:$M,$A74,Records!$T:$T,C$58)</f>
        <v/>
      </c>
      <c r="D74">
        <f>COUNTIFS(Records!$M:$M,$A74,Records!$T:$T,D$58)</f>
        <v/>
      </c>
      <c r="E74">
        <f>COUNTIFS(Records!$M:$M,$A74,Records!$T:$T,E$58)</f>
        <v/>
      </c>
      <c r="F74">
        <f>COUNTIFS(Records!$M:$M,$A74,Records!$T:$T,F$58)</f>
        <v/>
      </c>
      <c r="G74">
        <f>COUNTIFS(Records!$M:$M,$A74,Records!$T:$T,G$58)</f>
        <v/>
      </c>
      <c r="H74">
        <f>COUNTIFS(Records!$M:$M,$A74,Records!$T:$T,H$58)</f>
        <v/>
      </c>
      <c r="I74">
        <f>COUNTIFS(Records!$M:$M,$A74,Records!$T:$T,I$58)</f>
        <v/>
      </c>
      <c r="J74">
        <f>COUNTIFS(Records!$M:$M,$A74)</f>
        <v/>
      </c>
      <c r="K74">
        <f>COUNTIFS(Records!$M:$M,$A74,Records!$Q:$Q,"Y")</f>
        <v/>
      </c>
    </row>
    <row r="75">
      <c r="A75" t="inlineStr">
        <is>
          <t>B1</t>
        </is>
      </c>
      <c r="B75" t="inlineStr">
        <is>
          <t>Platforms &amp; platform capitalism</t>
        </is>
      </c>
      <c r="C75">
        <f>COUNTIFS(Records!$M:$M,$A75,Records!$T:$T,C$58)</f>
        <v/>
      </c>
      <c r="D75">
        <f>COUNTIFS(Records!$M:$M,$A75,Records!$T:$T,D$58)</f>
        <v/>
      </c>
      <c r="E75">
        <f>COUNTIFS(Records!$M:$M,$A75,Records!$T:$T,E$58)</f>
        <v/>
      </c>
      <c r="F75">
        <f>COUNTIFS(Records!$M:$M,$A75,Records!$T:$T,F$58)</f>
        <v/>
      </c>
      <c r="G75">
        <f>COUNTIFS(Records!$M:$M,$A75,Records!$T:$T,G$58)</f>
        <v/>
      </c>
      <c r="H75">
        <f>COUNTIFS(Records!$M:$M,$A75,Records!$T:$T,H$58)</f>
        <v/>
      </c>
      <c r="I75">
        <f>COUNTIFS(Records!$M:$M,$A75,Records!$T:$T,I$58)</f>
        <v/>
      </c>
      <c r="J75">
        <f>COUNTIFS(Records!$M:$M,$A75)</f>
        <v/>
      </c>
      <c r="K75">
        <f>COUNTIFS(Records!$M:$M,$A75,Records!$Q:$Q,"Y")</f>
        <v/>
      </c>
    </row>
    <row r="76">
      <c r="A76" t="inlineStr">
        <is>
          <t>B2</t>
        </is>
      </c>
      <c r="B76" t="inlineStr">
        <is>
          <t>Datafication, data justice &amp; data colonialism</t>
        </is>
      </c>
      <c r="C76">
        <f>COUNTIFS(Records!$M:$M,$A76,Records!$T:$T,C$58)</f>
        <v/>
      </c>
      <c r="D76">
        <f>COUNTIFS(Records!$M:$M,$A76,Records!$T:$T,D$58)</f>
        <v/>
      </c>
      <c r="E76">
        <f>COUNTIFS(Records!$M:$M,$A76,Records!$T:$T,E$58)</f>
        <v/>
      </c>
      <c r="F76">
        <f>COUNTIFS(Records!$M:$M,$A76,Records!$T:$T,F$58)</f>
        <v/>
      </c>
      <c r="G76">
        <f>COUNTIFS(Records!$M:$M,$A76,Records!$T:$T,G$58)</f>
        <v/>
      </c>
      <c r="H76">
        <f>COUNTIFS(Records!$M:$M,$A76,Records!$T:$T,H$58)</f>
        <v/>
      </c>
      <c r="I76">
        <f>COUNTIFS(Records!$M:$M,$A76,Records!$T:$T,I$58)</f>
        <v/>
      </c>
      <c r="J76">
        <f>COUNTIFS(Records!$M:$M,$A76)</f>
        <v/>
      </c>
      <c r="K76">
        <f>COUNTIFS(Records!$M:$M,$A76,Records!$Q:$Q,"Y")</f>
        <v/>
      </c>
    </row>
    <row r="77">
      <c r="A77" t="inlineStr">
        <is>
          <t>B3</t>
        </is>
      </c>
      <c r="B77" t="inlineStr">
        <is>
          <t>Surveillance studies</t>
        </is>
      </c>
      <c r="C77">
        <f>COUNTIFS(Records!$M:$M,$A77,Records!$T:$T,C$58)</f>
        <v/>
      </c>
      <c r="D77">
        <f>COUNTIFS(Records!$M:$M,$A77,Records!$T:$T,D$58)</f>
        <v/>
      </c>
      <c r="E77">
        <f>COUNTIFS(Records!$M:$M,$A77,Records!$T:$T,E$58)</f>
        <v/>
      </c>
      <c r="F77">
        <f>COUNTIFS(Records!$M:$M,$A77,Records!$T:$T,F$58)</f>
        <v/>
      </c>
      <c r="G77">
        <f>COUNTIFS(Records!$M:$M,$A77,Records!$T:$T,G$58)</f>
        <v/>
      </c>
      <c r="H77">
        <f>COUNTIFS(Records!$M:$M,$A77,Records!$T:$T,H$58)</f>
        <v/>
      </c>
      <c r="I77">
        <f>COUNTIFS(Records!$M:$M,$A77,Records!$T:$T,I$58)</f>
        <v/>
      </c>
      <c r="J77">
        <f>COUNTIFS(Records!$M:$M,$A77)</f>
        <v/>
      </c>
      <c r="K77">
        <f>COUNTIFS(Records!$M:$M,$A77,Records!$Q:$Q,"Y")</f>
        <v/>
      </c>
    </row>
    <row r="78">
      <c r="A78" t="inlineStr">
        <is>
          <t>B4</t>
        </is>
      </c>
      <c r="B78" t="inlineStr">
        <is>
          <t>Algorithmic governance &amp; AI in the public sector</t>
        </is>
      </c>
      <c r="C78">
        <f>COUNTIFS(Records!$M:$M,$A78,Records!$T:$T,C$58)</f>
        <v/>
      </c>
      <c r="D78">
        <f>COUNTIFS(Records!$M:$M,$A78,Records!$T:$T,D$58)</f>
        <v/>
      </c>
      <c r="E78">
        <f>COUNTIFS(Records!$M:$M,$A78,Records!$T:$T,E$58)</f>
        <v/>
      </c>
      <c r="F78">
        <f>COUNTIFS(Records!$M:$M,$A78,Records!$T:$T,F$58)</f>
        <v/>
      </c>
      <c r="G78">
        <f>COUNTIFS(Records!$M:$M,$A78,Records!$T:$T,G$58)</f>
        <v/>
      </c>
      <c r="H78">
        <f>COUNTIFS(Records!$M:$M,$A78,Records!$T:$T,H$58)</f>
        <v/>
      </c>
      <c r="I78">
        <f>COUNTIFS(Records!$M:$M,$A78,Records!$T:$T,I$58)</f>
        <v/>
      </c>
      <c r="J78">
        <f>COUNTIFS(Records!$M:$M,$A78)</f>
        <v/>
      </c>
      <c r="K78">
        <f>COUNTIFS(Records!$M:$M,$A78,Records!$Q:$Q,"Y")</f>
        <v/>
      </c>
    </row>
    <row r="79">
      <c r="A79" t="inlineStr">
        <is>
          <t>B5</t>
        </is>
      </c>
      <c r="B79" t="inlineStr">
        <is>
          <t>Digital identity &amp; digital public infrastructure (DPI)</t>
        </is>
      </c>
      <c r="C79">
        <f>COUNTIFS(Records!$M:$M,$A79,Records!$T:$T,C$58)</f>
        <v/>
      </c>
      <c r="D79">
        <f>COUNTIFS(Records!$M:$M,$A79,Records!$T:$T,D$58)</f>
        <v/>
      </c>
      <c r="E79">
        <f>COUNTIFS(Records!$M:$M,$A79,Records!$T:$T,E$58)</f>
        <v/>
      </c>
      <c r="F79">
        <f>COUNTIFS(Records!$M:$M,$A79,Records!$T:$T,F$58)</f>
        <v/>
      </c>
      <c r="G79">
        <f>COUNTIFS(Records!$M:$M,$A79,Records!$T:$T,G$58)</f>
        <v/>
      </c>
      <c r="H79">
        <f>COUNTIFS(Records!$M:$M,$A79,Records!$T:$T,H$58)</f>
        <v/>
      </c>
      <c r="I79">
        <f>COUNTIFS(Records!$M:$M,$A79,Records!$T:$T,I$58)</f>
        <v/>
      </c>
      <c r="J79">
        <f>COUNTIFS(Records!$M:$M,$A79)</f>
        <v/>
      </c>
      <c r="K79">
        <f>COUNTIFS(Records!$M:$M,$A79,Records!$Q:$Q,"Y")</f>
        <v/>
      </c>
    </row>
    <row r="80">
      <c r="A80" t="inlineStr">
        <is>
          <t>B6</t>
        </is>
      </c>
      <c r="B80" t="inlineStr">
        <is>
          <t>Digital finance &amp; payments</t>
        </is>
      </c>
      <c r="C80">
        <f>COUNTIFS(Records!$M:$M,$A80,Records!$T:$T,C$58)</f>
        <v/>
      </c>
      <c r="D80">
        <f>COUNTIFS(Records!$M:$M,$A80,Records!$T:$T,D$58)</f>
        <v/>
      </c>
      <c r="E80">
        <f>COUNTIFS(Records!$M:$M,$A80,Records!$T:$T,E$58)</f>
        <v/>
      </c>
      <c r="F80">
        <f>COUNTIFS(Records!$M:$M,$A80,Records!$T:$T,F$58)</f>
        <v/>
      </c>
      <c r="G80">
        <f>COUNTIFS(Records!$M:$M,$A80,Records!$T:$T,G$58)</f>
        <v/>
      </c>
      <c r="H80">
        <f>COUNTIFS(Records!$M:$M,$A80,Records!$T:$T,H$58)</f>
        <v/>
      </c>
      <c r="I80">
        <f>COUNTIFS(Records!$M:$M,$A80,Records!$T:$T,I$58)</f>
        <v/>
      </c>
      <c r="J80">
        <f>COUNTIFS(Records!$M:$M,$A80)</f>
        <v/>
      </c>
      <c r="K80">
        <f>COUNTIFS(Records!$M:$M,$A80,Records!$Q:$Q,"Y")</f>
        <v/>
      </c>
    </row>
    <row r="81">
      <c r="A81" t="inlineStr">
        <is>
          <t>B7</t>
        </is>
      </c>
      <c r="B81" t="inlineStr">
        <is>
          <t>Digital divides &amp; digital inclusion</t>
        </is>
      </c>
      <c r="C81">
        <f>COUNTIFS(Records!$M:$M,$A81,Records!$T:$T,C$58)</f>
        <v/>
      </c>
      <c r="D81">
        <f>COUNTIFS(Records!$M:$M,$A81,Records!$T:$T,D$58)</f>
        <v/>
      </c>
      <c r="E81">
        <f>COUNTIFS(Records!$M:$M,$A81,Records!$T:$T,E$58)</f>
        <v/>
      </c>
      <c r="F81">
        <f>COUNTIFS(Records!$M:$M,$A81,Records!$T:$T,F$58)</f>
        <v/>
      </c>
      <c r="G81">
        <f>COUNTIFS(Records!$M:$M,$A81,Records!$T:$T,G$58)</f>
        <v/>
      </c>
      <c r="H81">
        <f>COUNTIFS(Records!$M:$M,$A81,Records!$T:$T,H$58)</f>
        <v/>
      </c>
      <c r="I81">
        <f>COUNTIFS(Records!$M:$M,$A81,Records!$T:$T,I$58)</f>
        <v/>
      </c>
      <c r="J81">
        <f>COUNTIFS(Records!$M:$M,$A81)</f>
        <v/>
      </c>
      <c r="K81">
        <f>COUNTIFS(Records!$M:$M,$A81,Records!$Q:$Q,"Y")</f>
        <v/>
      </c>
    </row>
    <row r="82">
      <c r="A82" t="inlineStr">
        <is>
          <t>B8</t>
        </is>
      </c>
      <c r="B82" t="inlineStr">
        <is>
          <t>Social media, digital publics &amp; political communication</t>
        </is>
      </c>
      <c r="C82">
        <f>COUNTIFS(Records!$M:$M,$A82,Records!$T:$T,C$58)</f>
        <v/>
      </c>
      <c r="D82">
        <f>COUNTIFS(Records!$M:$M,$A82,Records!$T:$T,D$58)</f>
        <v/>
      </c>
      <c r="E82">
        <f>COUNTIFS(Records!$M:$M,$A82,Records!$T:$T,E$58)</f>
        <v/>
      </c>
      <c r="F82">
        <f>COUNTIFS(Records!$M:$M,$A82,Records!$T:$T,F$58)</f>
        <v/>
      </c>
      <c r="G82">
        <f>COUNTIFS(Records!$M:$M,$A82,Records!$T:$T,G$58)</f>
        <v/>
      </c>
      <c r="H82">
        <f>COUNTIFS(Records!$M:$M,$A82,Records!$T:$T,H$58)</f>
        <v/>
      </c>
      <c r="I82">
        <f>COUNTIFS(Records!$M:$M,$A82,Records!$T:$T,I$58)</f>
        <v/>
      </c>
      <c r="J82">
        <f>COUNTIFS(Records!$M:$M,$A82)</f>
        <v/>
      </c>
      <c r="K82">
        <f>COUNTIFS(Records!$M:$M,$A82,Records!$Q:$Q,"Y")</f>
        <v/>
      </c>
    </row>
    <row r="83">
      <c r="A83" t="inlineStr">
        <is>
          <t>B9</t>
        </is>
      </c>
      <c r="B83" t="inlineStr">
        <is>
          <t>Misinformation &amp; extreme speech</t>
        </is>
      </c>
      <c r="C83">
        <f>COUNTIFS(Records!$M:$M,$A83,Records!$T:$T,C$58)</f>
        <v/>
      </c>
      <c r="D83">
        <f>COUNTIFS(Records!$M:$M,$A83,Records!$T:$T,D$58)</f>
        <v/>
      </c>
      <c r="E83">
        <f>COUNTIFS(Records!$M:$M,$A83,Records!$T:$T,E$58)</f>
        <v/>
      </c>
      <c r="F83">
        <f>COUNTIFS(Records!$M:$M,$A83,Records!$T:$T,F$58)</f>
        <v/>
      </c>
      <c r="G83">
        <f>COUNTIFS(Records!$M:$M,$A83,Records!$T:$T,G$58)</f>
        <v/>
      </c>
      <c r="H83">
        <f>COUNTIFS(Records!$M:$M,$A83,Records!$T:$T,H$58)</f>
        <v/>
      </c>
      <c r="I83">
        <f>COUNTIFS(Records!$M:$M,$A83,Records!$T:$T,I$58)</f>
        <v/>
      </c>
      <c r="J83">
        <f>COUNTIFS(Records!$M:$M,$A83)</f>
        <v/>
      </c>
      <c r="K83">
        <f>COUNTIFS(Records!$M:$M,$A83,Records!$Q:$Q,"Y")</f>
        <v/>
      </c>
    </row>
    <row r="84">
      <c r="A84" t="inlineStr">
        <is>
          <t>B10</t>
        </is>
      </c>
      <c r="B84" t="inlineStr">
        <is>
          <t>Cybercrime, fraud &amp; cybersecurity (social science)</t>
        </is>
      </c>
      <c r="C84">
        <f>COUNTIFS(Records!$M:$M,$A84,Records!$T:$T,C$58)</f>
        <v/>
      </c>
      <c r="D84">
        <f>COUNTIFS(Records!$M:$M,$A84,Records!$T:$T,D$58)</f>
        <v/>
      </c>
      <c r="E84">
        <f>COUNTIFS(Records!$M:$M,$A84,Records!$T:$T,E$58)</f>
        <v/>
      </c>
      <c r="F84">
        <f>COUNTIFS(Records!$M:$M,$A84,Records!$T:$T,F$58)</f>
        <v/>
      </c>
      <c r="G84">
        <f>COUNTIFS(Records!$M:$M,$A84,Records!$T:$T,G$58)</f>
        <v/>
      </c>
      <c r="H84">
        <f>COUNTIFS(Records!$M:$M,$A84,Records!$T:$T,H$58)</f>
        <v/>
      </c>
      <c r="I84">
        <f>COUNTIFS(Records!$M:$M,$A84,Records!$T:$T,I$58)</f>
        <v/>
      </c>
      <c r="J84">
        <f>COUNTIFS(Records!$M:$M,$A84)</f>
        <v/>
      </c>
      <c r="K84">
        <f>COUNTIFS(Records!$M:$M,$A84,Records!$Q:$Q,"Y")</f>
        <v/>
      </c>
    </row>
    <row r="85">
      <c r="A85" t="inlineStr">
        <is>
          <t>B11</t>
        </is>
      </c>
      <c r="B85" t="inlineStr">
        <is>
          <t>Digital labour</t>
        </is>
      </c>
      <c r="C85">
        <f>COUNTIFS(Records!$M:$M,$A85,Records!$T:$T,C$58)</f>
        <v/>
      </c>
      <c r="D85">
        <f>COUNTIFS(Records!$M:$M,$A85,Records!$T:$T,D$58)</f>
        <v/>
      </c>
      <c r="E85">
        <f>COUNTIFS(Records!$M:$M,$A85,Records!$T:$T,E$58)</f>
        <v/>
      </c>
      <c r="F85">
        <f>COUNTIFS(Records!$M:$M,$A85,Records!$T:$T,F$58)</f>
        <v/>
      </c>
      <c r="G85">
        <f>COUNTIFS(Records!$M:$M,$A85,Records!$T:$T,G$58)</f>
        <v/>
      </c>
      <c r="H85">
        <f>COUNTIFS(Records!$M:$M,$A85,Records!$T:$T,H$58)</f>
        <v/>
      </c>
      <c r="I85">
        <f>COUNTIFS(Records!$M:$M,$A85,Records!$T:$T,I$58)</f>
        <v/>
      </c>
      <c r="J85">
        <f>COUNTIFS(Records!$M:$M,$A85)</f>
        <v/>
      </c>
      <c r="K85">
        <f>COUNTIFS(Records!$M:$M,$A85,Records!$Q:$Q,"Y")</f>
        <v/>
      </c>
    </row>
    <row r="86">
      <c r="A86" t="inlineStr">
        <is>
          <t>B12</t>
        </is>
      </c>
      <c r="B86" t="inlineStr">
        <is>
          <t>Infrastructure studies &amp; STS of digital systems</t>
        </is>
      </c>
      <c r="C86">
        <f>COUNTIFS(Records!$M:$M,$A86,Records!$T:$T,C$58)</f>
        <v/>
      </c>
      <c r="D86">
        <f>COUNTIFS(Records!$M:$M,$A86,Records!$T:$T,D$58)</f>
        <v/>
      </c>
      <c r="E86">
        <f>COUNTIFS(Records!$M:$M,$A86,Records!$T:$T,E$58)</f>
        <v/>
      </c>
      <c r="F86">
        <f>COUNTIFS(Records!$M:$M,$A86,Records!$T:$T,F$58)</f>
        <v/>
      </c>
      <c r="G86">
        <f>COUNTIFS(Records!$M:$M,$A86,Records!$T:$T,G$58)</f>
        <v/>
      </c>
      <c r="H86">
        <f>COUNTIFS(Records!$M:$M,$A86,Records!$T:$T,H$58)</f>
        <v/>
      </c>
      <c r="I86">
        <f>COUNTIFS(Records!$M:$M,$A86,Records!$T:$T,I$58)</f>
        <v/>
      </c>
      <c r="J86">
        <f>COUNTIFS(Records!$M:$M,$A86)</f>
        <v/>
      </c>
      <c r="K86">
        <f>COUNTIFS(Records!$M:$M,$A86,Records!$Q:$Q,"Y")</f>
        <v/>
      </c>
    </row>
    <row r="87">
      <c r="A87" t="inlineStr">
        <is>
          <t>B13</t>
        </is>
      </c>
      <c r="B87" t="inlineStr">
        <is>
          <t>Mobile phones &amp; everyday digital life</t>
        </is>
      </c>
      <c r="C87">
        <f>COUNTIFS(Records!$M:$M,$A87,Records!$T:$T,C$58)</f>
        <v/>
      </c>
      <c r="D87">
        <f>COUNTIFS(Records!$M:$M,$A87,Records!$T:$T,D$58)</f>
        <v/>
      </c>
      <c r="E87">
        <f>COUNTIFS(Records!$M:$M,$A87,Records!$T:$T,E$58)</f>
        <v/>
      </c>
      <c r="F87">
        <f>COUNTIFS(Records!$M:$M,$A87,Records!$T:$T,F$58)</f>
        <v/>
      </c>
      <c r="G87">
        <f>COUNTIFS(Records!$M:$M,$A87,Records!$T:$T,G$58)</f>
        <v/>
      </c>
      <c r="H87">
        <f>COUNTIFS(Records!$M:$M,$A87,Records!$T:$T,H$58)</f>
        <v/>
      </c>
      <c r="I87">
        <f>COUNTIFS(Records!$M:$M,$A87,Records!$T:$T,I$58)</f>
        <v/>
      </c>
      <c r="J87">
        <f>COUNTIFS(Records!$M:$M,$A87)</f>
        <v/>
      </c>
      <c r="K87">
        <f>COUNTIFS(Records!$M:$M,$A87,Records!$Q:$Q,"Y")</f>
        <v/>
      </c>
    </row>
    <row r="88">
      <c r="A88" t="inlineStr">
        <is>
          <t>B14</t>
        </is>
      </c>
      <c r="B88" t="inlineStr">
        <is>
          <t>Generative AI &amp; society</t>
        </is>
      </c>
      <c r="C88">
        <f>COUNTIFS(Records!$M:$M,$A88,Records!$T:$T,C$58)</f>
        <v/>
      </c>
      <c r="D88">
        <f>COUNTIFS(Records!$M:$M,$A88,Records!$T:$T,D$58)</f>
        <v/>
      </c>
      <c r="E88">
        <f>COUNTIFS(Records!$M:$M,$A88,Records!$T:$T,E$58)</f>
        <v/>
      </c>
      <c r="F88">
        <f>COUNTIFS(Records!$M:$M,$A88,Records!$T:$T,F$58)</f>
        <v/>
      </c>
      <c r="G88">
        <f>COUNTIFS(Records!$M:$M,$A88,Records!$T:$T,G$58)</f>
        <v/>
      </c>
      <c r="H88">
        <f>COUNTIFS(Records!$M:$M,$A88,Records!$T:$T,H$58)</f>
        <v/>
      </c>
      <c r="I88">
        <f>COUNTIFS(Records!$M:$M,$A88,Records!$T:$T,I$58)</f>
        <v/>
      </c>
      <c r="J88">
        <f>COUNTIFS(Records!$M:$M,$A88)</f>
        <v/>
      </c>
      <c r="K88">
        <f>COUNTIFS(Records!$M:$M,$A88,Records!$Q:$Q,"Y")</f>
        <v/>
      </c>
    </row>
    <row r="89">
      <c r="A89" t="inlineStr">
        <is>
          <t>C1</t>
        </is>
      </c>
      <c r="B89" t="inlineStr">
        <is>
          <t>Smart cities &amp; smart urbanism</t>
        </is>
      </c>
      <c r="C89">
        <f>COUNTIFS(Records!$M:$M,$A89,Records!$T:$T,C$58)</f>
        <v/>
      </c>
      <c r="D89">
        <f>COUNTIFS(Records!$M:$M,$A89,Records!$T:$T,D$58)</f>
        <v/>
      </c>
      <c r="E89">
        <f>COUNTIFS(Records!$M:$M,$A89,Records!$T:$T,E$58)</f>
        <v/>
      </c>
      <c r="F89">
        <f>COUNTIFS(Records!$M:$M,$A89,Records!$T:$T,F$58)</f>
        <v/>
      </c>
      <c r="G89">
        <f>COUNTIFS(Records!$M:$M,$A89,Records!$T:$T,G$58)</f>
        <v/>
      </c>
      <c r="H89">
        <f>COUNTIFS(Records!$M:$M,$A89,Records!$T:$T,H$58)</f>
        <v/>
      </c>
      <c r="I89">
        <f>COUNTIFS(Records!$M:$M,$A89,Records!$T:$T,I$58)</f>
        <v/>
      </c>
      <c r="J89">
        <f>COUNTIFS(Records!$M:$M,$A89)</f>
        <v/>
      </c>
      <c r="K89">
        <f>COUNTIFS(Records!$M:$M,$A89,Records!$Q:$Q,"Y")</f>
        <v/>
      </c>
    </row>
    <row r="90">
      <c r="A90" t="inlineStr">
        <is>
          <t>C2</t>
        </is>
      </c>
      <c r="B90" t="inlineStr">
        <is>
          <t>Platform urbanism</t>
        </is>
      </c>
      <c r="C90">
        <f>COUNTIFS(Records!$M:$M,$A90,Records!$T:$T,C$58)</f>
        <v/>
      </c>
      <c r="D90">
        <f>COUNTIFS(Records!$M:$M,$A90,Records!$T:$T,D$58)</f>
        <v/>
      </c>
      <c r="E90">
        <f>COUNTIFS(Records!$M:$M,$A90,Records!$T:$T,E$58)</f>
        <v/>
      </c>
      <c r="F90">
        <f>COUNTIFS(Records!$M:$M,$A90,Records!$T:$T,F$58)</f>
        <v/>
      </c>
      <c r="G90">
        <f>COUNTIFS(Records!$M:$M,$A90,Records!$T:$T,G$58)</f>
        <v/>
      </c>
      <c r="H90">
        <f>COUNTIFS(Records!$M:$M,$A90,Records!$T:$T,H$58)</f>
        <v/>
      </c>
      <c r="I90">
        <f>COUNTIFS(Records!$M:$M,$A90,Records!$T:$T,I$58)</f>
        <v/>
      </c>
      <c r="J90">
        <f>COUNTIFS(Records!$M:$M,$A90)</f>
        <v/>
      </c>
      <c r="K90">
        <f>COUNTIFS(Records!$M:$M,$A90,Records!$Q:$Q,"Y")</f>
        <v/>
      </c>
    </row>
    <row r="91">
      <c r="A91" t="inlineStr">
        <is>
          <t>C3</t>
        </is>
      </c>
      <c r="B91" t="inlineStr">
        <is>
          <t>Digital geographies &amp; code/space</t>
        </is>
      </c>
      <c r="C91">
        <f>COUNTIFS(Records!$M:$M,$A91,Records!$T:$T,C$58)</f>
        <v/>
      </c>
      <c r="D91">
        <f>COUNTIFS(Records!$M:$M,$A91,Records!$T:$T,D$58)</f>
        <v/>
      </c>
      <c r="E91">
        <f>COUNTIFS(Records!$M:$M,$A91,Records!$T:$T,E$58)</f>
        <v/>
      </c>
      <c r="F91">
        <f>COUNTIFS(Records!$M:$M,$A91,Records!$T:$T,F$58)</f>
        <v/>
      </c>
      <c r="G91">
        <f>COUNTIFS(Records!$M:$M,$A91,Records!$T:$T,G$58)</f>
        <v/>
      </c>
      <c r="H91">
        <f>COUNTIFS(Records!$M:$M,$A91,Records!$T:$T,H$58)</f>
        <v/>
      </c>
      <c r="I91">
        <f>COUNTIFS(Records!$M:$M,$A91,Records!$T:$T,I$58)</f>
        <v/>
      </c>
      <c r="J91">
        <f>COUNTIFS(Records!$M:$M,$A91)</f>
        <v/>
      </c>
      <c r="K91">
        <f>COUNTIFS(Records!$M:$M,$A91,Records!$Q:$Q,"Y")</f>
        <v/>
      </c>
    </row>
    <row r="92">
      <c r="A92" t="inlineStr">
        <is>
          <t>C4</t>
        </is>
      </c>
      <c r="B92" t="inlineStr">
        <is>
          <t>Urban informatics &amp; urban computing</t>
        </is>
      </c>
      <c r="C92">
        <f>COUNTIFS(Records!$M:$M,$A92,Records!$T:$T,C$58)</f>
        <v/>
      </c>
      <c r="D92">
        <f>COUNTIFS(Records!$M:$M,$A92,Records!$T:$T,D$58)</f>
        <v/>
      </c>
      <c r="E92">
        <f>COUNTIFS(Records!$M:$M,$A92,Records!$T:$T,E$58)</f>
        <v/>
      </c>
      <c r="F92">
        <f>COUNTIFS(Records!$M:$M,$A92,Records!$T:$T,F$58)</f>
        <v/>
      </c>
      <c r="G92">
        <f>COUNTIFS(Records!$M:$M,$A92,Records!$T:$T,G$58)</f>
        <v/>
      </c>
      <c r="H92">
        <f>COUNTIFS(Records!$M:$M,$A92,Records!$T:$T,H$58)</f>
        <v/>
      </c>
      <c r="I92">
        <f>COUNTIFS(Records!$M:$M,$A92,Records!$T:$T,I$58)</f>
        <v/>
      </c>
      <c r="J92">
        <f>COUNTIFS(Records!$M:$M,$A92)</f>
        <v/>
      </c>
      <c r="K92">
        <f>COUNTIFS(Records!$M:$M,$A92,Records!$Q:$Q,"Y")</f>
        <v/>
      </c>
    </row>
    <row r="93">
      <c r="A93" t="inlineStr">
        <is>
          <t>C5</t>
        </is>
      </c>
      <c r="B93" t="inlineStr">
        <is>
          <t>Urban data governance &amp; data justice in cities</t>
        </is>
      </c>
      <c r="C93">
        <f>COUNTIFS(Records!$M:$M,$A93,Records!$T:$T,C$58)</f>
        <v/>
      </c>
      <c r="D93">
        <f>COUNTIFS(Records!$M:$M,$A93,Records!$T:$T,D$58)</f>
        <v/>
      </c>
      <c r="E93">
        <f>COUNTIFS(Records!$M:$M,$A93,Records!$T:$T,E$58)</f>
        <v/>
      </c>
      <c r="F93">
        <f>COUNTIFS(Records!$M:$M,$A93,Records!$T:$T,F$58)</f>
        <v/>
      </c>
      <c r="G93">
        <f>COUNTIFS(Records!$M:$M,$A93,Records!$T:$T,G$58)</f>
        <v/>
      </c>
      <c r="H93">
        <f>COUNTIFS(Records!$M:$M,$A93,Records!$T:$T,H$58)</f>
        <v/>
      </c>
      <c r="I93">
        <f>COUNTIFS(Records!$M:$M,$A93,Records!$T:$T,I$58)</f>
        <v/>
      </c>
      <c r="J93">
        <f>COUNTIFS(Records!$M:$M,$A93)</f>
        <v/>
      </c>
      <c r="K93">
        <f>COUNTIFS(Records!$M:$M,$A93,Records!$Q:$Q,"Y")</f>
        <v/>
      </c>
    </row>
    <row r="94">
      <c r="A94" t="inlineStr">
        <is>
          <t>C6</t>
        </is>
      </c>
      <c r="B94" t="inlineStr">
        <is>
          <t>Urban surveillance, policing &amp; biometrics in public space</t>
        </is>
      </c>
      <c r="C94">
        <f>COUNTIFS(Records!$M:$M,$A94,Records!$T:$T,C$58)</f>
        <v/>
      </c>
      <c r="D94">
        <f>COUNTIFS(Records!$M:$M,$A94,Records!$T:$T,D$58)</f>
        <v/>
      </c>
      <c r="E94">
        <f>COUNTIFS(Records!$M:$M,$A94,Records!$T:$T,E$58)</f>
        <v/>
      </c>
      <c r="F94">
        <f>COUNTIFS(Records!$M:$M,$A94,Records!$T:$T,F$58)</f>
        <v/>
      </c>
      <c r="G94">
        <f>COUNTIFS(Records!$M:$M,$A94,Records!$T:$T,G$58)</f>
        <v/>
      </c>
      <c r="H94">
        <f>COUNTIFS(Records!$M:$M,$A94,Records!$T:$T,H$58)</f>
        <v/>
      </c>
      <c r="I94">
        <f>COUNTIFS(Records!$M:$M,$A94,Records!$T:$T,I$58)</f>
        <v/>
      </c>
      <c r="J94">
        <f>COUNTIFS(Records!$M:$M,$A94)</f>
        <v/>
      </c>
      <c r="K94">
        <f>COUNTIFS(Records!$M:$M,$A94,Records!$Q:$Q,"Y")</f>
        <v/>
      </c>
    </row>
    <row r="95">
      <c r="A95" t="inlineStr">
        <is>
          <t>C7</t>
        </is>
      </c>
      <c r="B95" t="inlineStr">
        <is>
          <t>Algorithmic &amp; automated urban governance, municipal AI / GenAI</t>
        </is>
      </c>
      <c r="C95">
        <f>COUNTIFS(Records!$M:$M,$A95,Records!$T:$T,C$58)</f>
        <v/>
      </c>
      <c r="D95">
        <f>COUNTIFS(Records!$M:$M,$A95,Records!$T:$T,D$58)</f>
        <v/>
      </c>
      <c r="E95">
        <f>COUNTIFS(Records!$M:$M,$A95,Records!$T:$T,E$58)</f>
        <v/>
      </c>
      <c r="F95">
        <f>COUNTIFS(Records!$M:$M,$A95,Records!$T:$T,F$58)</f>
        <v/>
      </c>
      <c r="G95">
        <f>COUNTIFS(Records!$M:$M,$A95,Records!$T:$T,G$58)</f>
        <v/>
      </c>
      <c r="H95">
        <f>COUNTIFS(Records!$M:$M,$A95,Records!$T:$T,H$58)</f>
        <v/>
      </c>
      <c r="I95">
        <f>COUNTIFS(Records!$M:$M,$A95,Records!$T:$T,I$58)</f>
        <v/>
      </c>
      <c r="J95">
        <f>COUNTIFS(Records!$M:$M,$A95)</f>
        <v/>
      </c>
      <c r="K95">
        <f>COUNTIFS(Records!$M:$M,$A95,Records!$Q:$Q,"Y")</f>
        <v/>
      </c>
    </row>
    <row r="96">
      <c r="A96" t="inlineStr">
        <is>
          <t>C8</t>
        </is>
      </c>
      <c r="B96" t="inlineStr">
        <is>
          <t>City-level DPI &amp; urban e-government</t>
        </is>
      </c>
      <c r="C96">
        <f>COUNTIFS(Records!$M:$M,$A96,Records!$T:$T,C$58)</f>
        <v/>
      </c>
      <c r="D96">
        <f>COUNTIFS(Records!$M:$M,$A96,Records!$T:$T,D$58)</f>
        <v/>
      </c>
      <c r="E96">
        <f>COUNTIFS(Records!$M:$M,$A96,Records!$T:$T,E$58)</f>
        <v/>
      </c>
      <c r="F96">
        <f>COUNTIFS(Records!$M:$M,$A96,Records!$T:$T,F$58)</f>
        <v/>
      </c>
      <c r="G96">
        <f>COUNTIFS(Records!$M:$M,$A96,Records!$T:$T,G$58)</f>
        <v/>
      </c>
      <c r="H96">
        <f>COUNTIFS(Records!$M:$M,$A96,Records!$T:$T,H$58)</f>
        <v/>
      </c>
      <c r="I96">
        <f>COUNTIFS(Records!$M:$M,$A96,Records!$T:$T,I$58)</f>
        <v/>
      </c>
      <c r="J96">
        <f>COUNTIFS(Records!$M:$M,$A96)</f>
        <v/>
      </c>
      <c r="K96">
        <f>COUNTIFS(Records!$M:$M,$A96,Records!$Q:$Q,"Y")</f>
        <v/>
      </c>
    </row>
    <row r="97">
      <c r="A97" t="inlineStr">
        <is>
          <t>C9</t>
        </is>
      </c>
      <c r="B97" t="inlineStr">
        <is>
          <t>Digital mobility (ride-hailing, MaaS, digital ticketing, transit apps)</t>
        </is>
      </c>
      <c r="C97">
        <f>COUNTIFS(Records!$M:$M,$A97,Records!$T:$T,C$58)</f>
        <v/>
      </c>
      <c r="D97">
        <f>COUNTIFS(Records!$M:$M,$A97,Records!$T:$T,D$58)</f>
        <v/>
      </c>
      <c r="E97">
        <f>COUNTIFS(Records!$M:$M,$A97,Records!$T:$T,E$58)</f>
        <v/>
      </c>
      <c r="F97">
        <f>COUNTIFS(Records!$M:$M,$A97,Records!$T:$T,F$58)</f>
        <v/>
      </c>
      <c r="G97">
        <f>COUNTIFS(Records!$M:$M,$A97,Records!$T:$T,G$58)</f>
        <v/>
      </c>
      <c r="H97">
        <f>COUNTIFS(Records!$M:$M,$A97,Records!$T:$T,H$58)</f>
        <v/>
      </c>
      <c r="I97">
        <f>COUNTIFS(Records!$M:$M,$A97,Records!$T:$T,I$58)</f>
        <v/>
      </c>
      <c r="J97">
        <f>COUNTIFS(Records!$M:$M,$A97)</f>
        <v/>
      </c>
      <c r="K97">
        <f>COUNTIFS(Records!$M:$M,$A97,Records!$Q:$Q,"Y")</f>
        <v/>
      </c>
    </row>
    <row r="98">
      <c r="A98" t="inlineStr">
        <is>
          <t>C10</t>
        </is>
      </c>
      <c r="B98" t="inlineStr">
        <is>
          <t>Proptech, housing platforms &amp; short-term rentals</t>
        </is>
      </c>
      <c r="C98">
        <f>COUNTIFS(Records!$M:$M,$A98,Records!$T:$T,C$58)</f>
        <v/>
      </c>
      <c r="D98">
        <f>COUNTIFS(Records!$M:$M,$A98,Records!$T:$T,D$58)</f>
        <v/>
      </c>
      <c r="E98">
        <f>COUNTIFS(Records!$M:$M,$A98,Records!$T:$T,E$58)</f>
        <v/>
      </c>
      <c r="F98">
        <f>COUNTIFS(Records!$M:$M,$A98,Records!$T:$T,F$58)</f>
        <v/>
      </c>
      <c r="G98">
        <f>COUNTIFS(Records!$M:$M,$A98,Records!$T:$T,G$58)</f>
        <v/>
      </c>
      <c r="H98">
        <f>COUNTIFS(Records!$M:$M,$A98,Records!$T:$T,H$58)</f>
        <v/>
      </c>
      <c r="I98">
        <f>COUNTIFS(Records!$M:$M,$A98,Records!$T:$T,I$58)</f>
        <v/>
      </c>
      <c r="J98">
        <f>COUNTIFS(Records!$M:$M,$A98)</f>
        <v/>
      </c>
      <c r="K98">
        <f>COUNTIFS(Records!$M:$M,$A98,Records!$Q:$Q,"Y")</f>
        <v/>
      </c>
    </row>
    <row r="99">
      <c r="A99" t="inlineStr">
        <is>
          <t>C11</t>
        </is>
      </c>
      <c r="B99" t="inlineStr">
        <is>
          <t>Digital payments in urban economies (QR, UPI, mobile money)</t>
        </is>
      </c>
      <c r="C99">
        <f>COUNTIFS(Records!$M:$M,$A99,Records!$T:$T,C$58)</f>
        <v/>
      </c>
      <c r="D99">
        <f>COUNTIFS(Records!$M:$M,$A99,Records!$T:$T,D$58)</f>
        <v/>
      </c>
      <c r="E99">
        <f>COUNTIFS(Records!$M:$M,$A99,Records!$T:$T,E$58)</f>
        <v/>
      </c>
      <c r="F99">
        <f>COUNTIFS(Records!$M:$M,$A99,Records!$T:$T,F$58)</f>
        <v/>
      </c>
      <c r="G99">
        <f>COUNTIFS(Records!$M:$M,$A99,Records!$T:$T,G$58)</f>
        <v/>
      </c>
      <c r="H99">
        <f>COUNTIFS(Records!$M:$M,$A99,Records!$T:$T,H$58)</f>
        <v/>
      </c>
      <c r="I99">
        <f>COUNTIFS(Records!$M:$M,$A99,Records!$T:$T,I$58)</f>
        <v/>
      </c>
      <c r="J99">
        <f>COUNTIFS(Records!$M:$M,$A99)</f>
        <v/>
      </c>
      <c r="K99">
        <f>COUNTIFS(Records!$M:$M,$A99,Records!$Q:$Q,"Y")</f>
        <v/>
      </c>
    </row>
    <row r="100">
      <c r="A100" t="inlineStr">
        <is>
          <t>C12</t>
        </is>
      </c>
      <c r="B100" t="inlineStr">
        <is>
          <t>Civic tech, e-participation &amp; digital urban publics</t>
        </is>
      </c>
      <c r="C100">
        <f>COUNTIFS(Records!$M:$M,$A100,Records!$T:$T,C$58)</f>
        <v/>
      </c>
      <c r="D100">
        <f>COUNTIFS(Records!$M:$M,$A100,Records!$T:$T,D$58)</f>
        <v/>
      </c>
      <c r="E100">
        <f>COUNTIFS(Records!$M:$M,$A100,Records!$T:$T,E$58)</f>
        <v/>
      </c>
      <c r="F100">
        <f>COUNTIFS(Records!$M:$M,$A100,Records!$T:$T,F$58)</f>
        <v/>
      </c>
      <c r="G100">
        <f>COUNTIFS(Records!$M:$M,$A100,Records!$T:$T,G$58)</f>
        <v/>
      </c>
      <c r="H100">
        <f>COUNTIFS(Records!$M:$M,$A100,Records!$T:$T,H$58)</f>
        <v/>
      </c>
      <c r="I100">
        <f>COUNTIFS(Records!$M:$M,$A100,Records!$T:$T,I$58)</f>
        <v/>
      </c>
      <c r="J100">
        <f>COUNTIFS(Records!$M:$M,$A100)</f>
        <v/>
      </c>
      <c r="K100">
        <f>COUNTIFS(Records!$M:$M,$A100,Records!$Q:$Q,"Y")</f>
        <v/>
      </c>
    </row>
    <row r="101">
      <c r="A101" t="inlineStr">
        <is>
          <t>C13</t>
        </is>
      </c>
      <c r="B101" t="inlineStr">
        <is>
          <t>Digital twins, simulation &amp; visual rendering of cities</t>
        </is>
      </c>
      <c r="C101">
        <f>COUNTIFS(Records!$M:$M,$A101,Records!$T:$T,C$58)</f>
        <v/>
      </c>
      <c r="D101">
        <f>COUNTIFS(Records!$M:$M,$A101,Records!$T:$T,D$58)</f>
        <v/>
      </c>
      <c r="E101">
        <f>COUNTIFS(Records!$M:$M,$A101,Records!$T:$T,E$58)</f>
        <v/>
      </c>
      <c r="F101">
        <f>COUNTIFS(Records!$M:$M,$A101,Records!$T:$T,F$58)</f>
        <v/>
      </c>
      <c r="G101">
        <f>COUNTIFS(Records!$M:$M,$A101,Records!$T:$T,G$58)</f>
        <v/>
      </c>
      <c r="H101">
        <f>COUNTIFS(Records!$M:$M,$A101,Records!$T:$T,H$58)</f>
        <v/>
      </c>
      <c r="I101">
        <f>COUNTIFS(Records!$M:$M,$A101,Records!$T:$T,I$58)</f>
        <v/>
      </c>
      <c r="J101">
        <f>COUNTIFS(Records!$M:$M,$A101)</f>
        <v/>
      </c>
      <c r="K101">
        <f>COUNTIFS(Records!$M:$M,$A101,Records!$Q:$Q,"Y")</f>
        <v/>
      </c>
    </row>
    <row r="102">
      <c r="A102" t="inlineStr">
        <is>
          <t>C14</t>
        </is>
      </c>
      <c r="B102" t="inlineStr">
        <is>
          <t>Digital informality (informal settlements, vendors &amp; digital systems)</t>
        </is>
      </c>
      <c r="C102">
        <f>COUNTIFS(Records!$M:$M,$A102,Records!$T:$T,C$58)</f>
        <v/>
      </c>
      <c r="D102">
        <f>COUNTIFS(Records!$M:$M,$A102,Records!$T:$T,D$58)</f>
        <v/>
      </c>
      <c r="E102">
        <f>COUNTIFS(Records!$M:$M,$A102,Records!$T:$T,E$58)</f>
        <v/>
      </c>
      <c r="F102">
        <f>COUNTIFS(Records!$M:$M,$A102,Records!$T:$T,F$58)</f>
        <v/>
      </c>
      <c r="G102">
        <f>COUNTIFS(Records!$M:$M,$A102,Records!$T:$T,G$58)</f>
        <v/>
      </c>
      <c r="H102">
        <f>COUNTIFS(Records!$M:$M,$A102,Records!$T:$T,H$58)</f>
        <v/>
      </c>
      <c r="I102">
        <f>COUNTIFS(Records!$M:$M,$A102,Records!$T:$T,I$58)</f>
        <v/>
      </c>
      <c r="J102">
        <f>COUNTIFS(Records!$M:$M,$A102)</f>
        <v/>
      </c>
      <c r="K102">
        <f>COUNTIFS(Records!$M:$M,$A102,Records!$Q:$Q,"Y")</f>
        <v/>
      </c>
    </row>
    <row r="103">
      <c r="A103" t="inlineStr">
        <is>
          <t>C15</t>
        </is>
      </c>
      <c r="B103" t="inlineStr">
        <is>
          <t>Gig work in the city (urban and spatial focus)</t>
        </is>
      </c>
      <c r="C103">
        <f>COUNTIFS(Records!$M:$M,$A103,Records!$T:$T,C$58)</f>
        <v/>
      </c>
      <c r="D103">
        <f>COUNTIFS(Records!$M:$M,$A103,Records!$T:$T,D$58)</f>
        <v/>
      </c>
      <c r="E103">
        <f>COUNTIFS(Records!$M:$M,$A103,Records!$T:$T,E$58)</f>
        <v/>
      </c>
      <c r="F103">
        <f>COUNTIFS(Records!$M:$M,$A103,Records!$T:$T,F$58)</f>
        <v/>
      </c>
      <c r="G103">
        <f>COUNTIFS(Records!$M:$M,$A103,Records!$T:$T,G$58)</f>
        <v/>
      </c>
      <c r="H103">
        <f>COUNTIFS(Records!$M:$M,$A103,Records!$T:$T,H$58)</f>
        <v/>
      </c>
      <c r="I103">
        <f>COUNTIFS(Records!$M:$M,$A103,Records!$T:$T,I$58)</f>
        <v/>
      </c>
      <c r="J103">
        <f>COUNTIFS(Records!$M:$M,$A103)</f>
        <v/>
      </c>
      <c r="K103">
        <f>COUNTIFS(Records!$M:$M,$A103,Records!$Q:$Q,"Y")</f>
        <v/>
      </c>
    </row>
    <row r="104">
      <c r="A104" t="inlineStr">
        <is>
          <t>C16</t>
        </is>
      </c>
      <c r="B104" t="inlineStr">
        <is>
          <t>Digital heritage, mapping &amp; representation of cities</t>
        </is>
      </c>
      <c r="C104">
        <f>COUNTIFS(Records!$M:$M,$A104,Records!$T:$T,C$58)</f>
        <v/>
      </c>
      <c r="D104">
        <f>COUNTIFS(Records!$M:$M,$A104,Records!$T:$T,D$58)</f>
        <v/>
      </c>
      <c r="E104">
        <f>COUNTIFS(Records!$M:$M,$A104,Records!$T:$T,E$58)</f>
        <v/>
      </c>
      <c r="F104">
        <f>COUNTIFS(Records!$M:$M,$A104,Records!$T:$T,F$58)</f>
        <v/>
      </c>
      <c r="G104">
        <f>COUNTIFS(Records!$M:$M,$A104,Records!$T:$T,G$58)</f>
        <v/>
      </c>
      <c r="H104">
        <f>COUNTIFS(Records!$M:$M,$A104,Records!$T:$T,H$58)</f>
        <v/>
      </c>
      <c r="I104">
        <f>COUNTIFS(Records!$M:$M,$A104,Records!$T:$T,I$58)</f>
        <v/>
      </c>
      <c r="J104">
        <f>COUNTIFS(Records!$M:$M,$A104)</f>
        <v/>
      </c>
      <c r="K104">
        <f>COUNTIFS(Records!$M:$M,$A104,Records!$Q:$Q,"Y")</f>
        <v/>
      </c>
    </row>
    <row r="105">
      <c r="A105" t="inlineStr">
        <is>
          <t>C17</t>
        </is>
      </c>
      <c r="B105" t="inlineStr">
        <is>
          <t>Urban cybersecurity &amp; cyber-physical infrastructure</t>
        </is>
      </c>
      <c r="C105">
        <f>COUNTIFS(Records!$M:$M,$A105,Records!$T:$T,C$58)</f>
        <v/>
      </c>
      <c r="D105">
        <f>COUNTIFS(Records!$M:$M,$A105,Records!$T:$T,D$58)</f>
        <v/>
      </c>
      <c r="E105">
        <f>COUNTIFS(Records!$M:$M,$A105,Records!$T:$T,E$58)</f>
        <v/>
      </c>
      <c r="F105">
        <f>COUNTIFS(Records!$M:$M,$A105,Records!$T:$T,F$58)</f>
        <v/>
      </c>
      <c r="G105">
        <f>COUNTIFS(Records!$M:$M,$A105,Records!$T:$T,G$58)</f>
        <v/>
      </c>
      <c r="H105">
        <f>COUNTIFS(Records!$M:$M,$A105,Records!$T:$T,H$58)</f>
        <v/>
      </c>
      <c r="I105">
        <f>COUNTIFS(Records!$M:$M,$A105,Records!$T:$T,I$58)</f>
        <v/>
      </c>
      <c r="J105">
        <f>COUNTIFS(Records!$M:$M,$A105)</f>
        <v/>
      </c>
      <c r="K105">
        <f>COUNTIFS(Records!$M:$M,$A105,Records!$Q:$Q,"Y")</f>
        <v/>
      </c>
    </row>
    <row r="106">
      <c r="A106" t="inlineStr">
        <is>
          <t>C18</t>
        </is>
      </c>
      <c r="B106" t="inlineStr">
        <is>
          <t>Neighbourhood platforms &amp; digital public space (WhatsApp, Nextdoor, RWA groups)</t>
        </is>
      </c>
      <c r="C106">
        <f>COUNTIFS(Records!$M:$M,$A106,Records!$T:$T,C$58)</f>
        <v/>
      </c>
      <c r="D106">
        <f>COUNTIFS(Records!$M:$M,$A106,Records!$T:$T,D$58)</f>
        <v/>
      </c>
      <c r="E106">
        <f>COUNTIFS(Records!$M:$M,$A106,Records!$T:$T,E$58)</f>
        <v/>
      </c>
      <c r="F106">
        <f>COUNTIFS(Records!$M:$M,$A106,Records!$T:$T,F$58)</f>
        <v/>
      </c>
      <c r="G106">
        <f>COUNTIFS(Records!$M:$M,$A106,Records!$T:$T,G$58)</f>
        <v/>
      </c>
      <c r="H106">
        <f>COUNTIFS(Records!$M:$M,$A106,Records!$T:$T,H$58)</f>
        <v/>
      </c>
      <c r="I106">
        <f>COUNTIFS(Records!$M:$M,$A106,Records!$T:$T,I$58)</f>
        <v/>
      </c>
      <c r="J106">
        <f>COUNTIFS(Records!$M:$M,$A106)</f>
        <v/>
      </c>
      <c r="K106">
        <f>COUNTIFS(Records!$M:$M,$A106,Records!$Q:$Q,"Y")</f>
        <v/>
      </c>
    </row>
    <row r="107">
      <c r="B107" s="6" t="inlineStr">
        <is>
          <t>All themes</t>
        </is>
      </c>
      <c r="C107" s="6">
        <f>SUM(C59:C106)</f>
        <v/>
      </c>
      <c r="D107" s="6">
        <f>SUM(D59:D106)</f>
        <v/>
      </c>
      <c r="E107" s="6">
        <f>SUM(E59:E106)</f>
        <v/>
      </c>
      <c r="F107" s="6">
        <f>SUM(F59:F106)</f>
        <v/>
      </c>
      <c r="G107" s="6">
        <f>SUM(G59:G106)</f>
        <v/>
      </c>
      <c r="H107" s="6">
        <f>SUM(H59:H106)</f>
        <v/>
      </c>
      <c r="I107" s="6">
        <f>SUM(I59:I106)</f>
        <v/>
      </c>
      <c r="J107" s="6">
        <f>SUM(J59:J106)</f>
        <v/>
      </c>
      <c r="K107" s="6">
        <f>SUM(K59:K106)</f>
        <v/>
      </c>
    </row>
    <row r="110">
      <c r="A110" s="6" t="inlineStr">
        <is>
          <t>Theme × period (publication year)</t>
        </is>
      </c>
    </row>
    <row r="111">
      <c r="A111" s="7" t="inlineStr">
        <is>
          <t>Theme</t>
        </is>
      </c>
      <c r="B111" s="7" t="inlineStr">
        <is>
          <t>Name</t>
        </is>
      </c>
      <c r="C111" s="7" t="inlineStr">
        <is>
          <t>2010–14</t>
        </is>
      </c>
      <c r="D111" s="7" t="inlineStr">
        <is>
          <t>2015–19</t>
        </is>
      </c>
      <c r="E111" s="7" t="inlineStr">
        <is>
          <t>2020–26</t>
        </is>
      </c>
      <c r="F111" s="7" t="inlineStr">
        <is>
          <t>Before 2010</t>
        </is>
      </c>
      <c r="G111" s="7" t="inlineStr">
        <is>
          <t>Total</t>
        </is>
      </c>
    </row>
    <row r="112">
      <c r="A112" t="inlineStr">
        <is>
          <t>A1</t>
        </is>
      </c>
      <c r="B112" t="inlineStr">
        <is>
          <t>Urban governance, decentralisation &amp; municipal finance</t>
        </is>
      </c>
      <c r="C112">
        <f>COUNTIFS(Records!$M:$M,$A112,Records!$C:$C,"&gt;=2010",Records!$C:$C,"&lt;=2014")</f>
        <v/>
      </c>
      <c r="D112">
        <f>COUNTIFS(Records!$M:$M,$A112,Records!$C:$C,"&gt;=2015",Records!$C:$C,"&lt;=2019")</f>
        <v/>
      </c>
      <c r="E112">
        <f>COUNTIFS(Records!$M:$M,$A112,Records!$C:$C,"&gt;=2020",Records!$C:$C,"&lt;=2026")</f>
        <v/>
      </c>
      <c r="F112">
        <f>COUNTIFS(Records!$M:$M,$A112,Records!$C:$C,"&lt;2010")</f>
        <v/>
      </c>
      <c r="G112">
        <f>COUNTIFS(Records!$M:$M,$A112)</f>
        <v/>
      </c>
    </row>
    <row r="113">
      <c r="A113" t="inlineStr">
        <is>
          <t>A2</t>
        </is>
      </c>
      <c r="B113" t="inlineStr">
        <is>
          <t>Planning, master plans &amp; land-use regulation</t>
        </is>
      </c>
      <c r="C113">
        <f>COUNTIFS(Records!$M:$M,$A113,Records!$C:$C,"&gt;=2010",Records!$C:$C,"&lt;=2014")</f>
        <v/>
      </c>
      <c r="D113">
        <f>COUNTIFS(Records!$M:$M,$A113,Records!$C:$C,"&gt;=2015",Records!$C:$C,"&lt;=2019")</f>
        <v/>
      </c>
      <c r="E113">
        <f>COUNTIFS(Records!$M:$M,$A113,Records!$C:$C,"&gt;=2020",Records!$C:$C,"&lt;=2026")</f>
        <v/>
      </c>
      <c r="F113">
        <f>COUNTIFS(Records!$M:$M,$A113,Records!$C:$C,"&lt;2010")</f>
        <v/>
      </c>
      <c r="G113">
        <f>COUNTIFS(Records!$M:$M,$A113)</f>
        <v/>
      </c>
    </row>
    <row r="114">
      <c r="A114" t="inlineStr">
        <is>
          <t>A3</t>
        </is>
      </c>
      <c r="B114" t="inlineStr">
        <is>
          <t>Housing, informality &amp; slums</t>
        </is>
      </c>
      <c r="C114">
        <f>COUNTIFS(Records!$M:$M,$A114,Records!$C:$C,"&gt;=2010",Records!$C:$C,"&lt;=2014")</f>
        <v/>
      </c>
      <c r="D114">
        <f>COUNTIFS(Records!$M:$M,$A114,Records!$C:$C,"&gt;=2015",Records!$C:$C,"&lt;=2019")</f>
        <v/>
      </c>
      <c r="E114">
        <f>COUNTIFS(Records!$M:$M,$A114,Records!$C:$C,"&gt;=2020",Records!$C:$C,"&lt;=2026")</f>
        <v/>
      </c>
      <c r="F114">
        <f>COUNTIFS(Records!$M:$M,$A114,Records!$C:$C,"&lt;2010")</f>
        <v/>
      </c>
      <c r="G114">
        <f>COUNTIFS(Records!$M:$M,$A114)</f>
        <v/>
      </c>
    </row>
    <row r="115">
      <c r="A115" t="inlineStr">
        <is>
          <t>A4</t>
        </is>
      </c>
      <c r="B115" t="inlineStr">
        <is>
          <t>Eviction, resettlement &amp; displacement</t>
        </is>
      </c>
      <c r="C115">
        <f>COUNTIFS(Records!$M:$M,$A115,Records!$C:$C,"&gt;=2010",Records!$C:$C,"&lt;=2014")</f>
        <v/>
      </c>
      <c r="D115">
        <f>COUNTIFS(Records!$M:$M,$A115,Records!$C:$C,"&gt;=2015",Records!$C:$C,"&lt;=2019")</f>
        <v/>
      </c>
      <c r="E115">
        <f>COUNTIFS(Records!$M:$M,$A115,Records!$C:$C,"&gt;=2020",Records!$C:$C,"&lt;=2026")</f>
        <v/>
      </c>
      <c r="F115">
        <f>COUNTIFS(Records!$M:$M,$A115,Records!$C:$C,"&lt;2010")</f>
        <v/>
      </c>
      <c r="G115">
        <f>COUNTIFS(Records!$M:$M,$A115)</f>
        <v/>
      </c>
    </row>
    <row r="116">
      <c r="A116" t="inlineStr">
        <is>
          <t>A5</t>
        </is>
      </c>
      <c r="B116" t="inlineStr">
        <is>
          <t>Land, peri-urban &amp; extended urbanisation</t>
        </is>
      </c>
      <c r="C116">
        <f>COUNTIFS(Records!$M:$M,$A116,Records!$C:$C,"&gt;=2010",Records!$C:$C,"&lt;=2014")</f>
        <v/>
      </c>
      <c r="D116">
        <f>COUNTIFS(Records!$M:$M,$A116,Records!$C:$C,"&gt;=2015",Records!$C:$C,"&lt;=2019")</f>
        <v/>
      </c>
      <c r="E116">
        <f>COUNTIFS(Records!$M:$M,$A116,Records!$C:$C,"&gt;=2020",Records!$C:$C,"&lt;=2026")</f>
        <v/>
      </c>
      <c r="F116">
        <f>COUNTIFS(Records!$M:$M,$A116,Records!$C:$C,"&lt;2010")</f>
        <v/>
      </c>
      <c r="G116">
        <f>COUNTIFS(Records!$M:$M,$A116)</f>
        <v/>
      </c>
    </row>
    <row r="117">
      <c r="A117" t="inlineStr">
        <is>
          <t>A6</t>
        </is>
      </c>
      <c r="B117" t="inlineStr">
        <is>
          <t>Small towns, census towns &amp; secondary cities</t>
        </is>
      </c>
      <c r="C117">
        <f>COUNTIFS(Records!$M:$M,$A117,Records!$C:$C,"&gt;=2010",Records!$C:$C,"&lt;=2014")</f>
        <v/>
      </c>
      <c r="D117">
        <f>COUNTIFS(Records!$M:$M,$A117,Records!$C:$C,"&gt;=2015",Records!$C:$C,"&lt;=2019")</f>
        <v/>
      </c>
      <c r="E117">
        <f>COUNTIFS(Records!$M:$M,$A117,Records!$C:$C,"&gt;=2020",Records!$C:$C,"&lt;=2026")</f>
        <v/>
      </c>
      <c r="F117">
        <f>COUNTIFS(Records!$M:$M,$A117,Records!$C:$C,"&lt;2010")</f>
        <v/>
      </c>
      <c r="G117">
        <f>COUNTIFS(Records!$M:$M,$A117)</f>
        <v/>
      </c>
    </row>
    <row r="118">
      <c r="A118" t="inlineStr">
        <is>
          <t>A7</t>
        </is>
      </c>
      <c r="B118" t="inlineStr">
        <is>
          <t>Urban infrastructure (water, sanitation, energy) &amp; infrastructural citizenship</t>
        </is>
      </c>
      <c r="C118">
        <f>COUNTIFS(Records!$M:$M,$A118,Records!$C:$C,"&gt;=2010",Records!$C:$C,"&lt;=2014")</f>
        <v/>
      </c>
      <c r="D118">
        <f>COUNTIFS(Records!$M:$M,$A118,Records!$C:$C,"&gt;=2015",Records!$C:$C,"&lt;=2019")</f>
        <v/>
      </c>
      <c r="E118">
        <f>COUNTIFS(Records!$M:$M,$A118,Records!$C:$C,"&gt;=2020",Records!$C:$C,"&lt;=2026")</f>
        <v/>
      </c>
      <c r="F118">
        <f>COUNTIFS(Records!$M:$M,$A118,Records!$C:$C,"&lt;2010")</f>
        <v/>
      </c>
      <c r="G118">
        <f>COUNTIFS(Records!$M:$M,$A118)</f>
        <v/>
      </c>
    </row>
    <row r="119">
      <c r="A119" t="inlineStr">
        <is>
          <t>A8</t>
        </is>
      </c>
      <c r="B119" t="inlineStr">
        <is>
          <t>Mobility &amp; transport (social science)</t>
        </is>
      </c>
      <c r="C119">
        <f>COUNTIFS(Records!$M:$M,$A119,Records!$C:$C,"&gt;=2010",Records!$C:$C,"&lt;=2014")</f>
        <v/>
      </c>
      <c r="D119">
        <f>COUNTIFS(Records!$M:$M,$A119,Records!$C:$C,"&gt;=2015",Records!$C:$C,"&lt;=2019")</f>
        <v/>
      </c>
      <c r="E119">
        <f>COUNTIFS(Records!$M:$M,$A119,Records!$C:$C,"&gt;=2020",Records!$C:$C,"&lt;=2026")</f>
        <v/>
      </c>
      <c r="F119">
        <f>COUNTIFS(Records!$M:$M,$A119,Records!$C:$C,"&lt;2010")</f>
        <v/>
      </c>
      <c r="G119">
        <f>COUNTIFS(Records!$M:$M,$A119)</f>
        <v/>
      </c>
    </row>
    <row r="120">
      <c r="A120" t="inlineStr">
        <is>
          <t>A9</t>
        </is>
      </c>
      <c r="B120" t="inlineStr">
        <is>
          <t>Public space, publicness &amp; the street</t>
        </is>
      </c>
      <c r="C120">
        <f>COUNTIFS(Records!$M:$M,$A120,Records!$C:$C,"&gt;=2010",Records!$C:$C,"&lt;=2014")</f>
        <v/>
      </c>
      <c r="D120">
        <f>COUNTIFS(Records!$M:$M,$A120,Records!$C:$C,"&gt;=2015",Records!$C:$C,"&lt;=2019")</f>
        <v/>
      </c>
      <c r="E120">
        <f>COUNTIFS(Records!$M:$M,$A120,Records!$C:$C,"&gt;=2020",Records!$C:$C,"&lt;=2026")</f>
        <v/>
      </c>
      <c r="F120">
        <f>COUNTIFS(Records!$M:$M,$A120,Records!$C:$C,"&lt;2010")</f>
        <v/>
      </c>
      <c r="G120">
        <f>COUNTIFS(Records!$M:$M,$A120)</f>
        <v/>
      </c>
    </row>
    <row r="121">
      <c r="A121" t="inlineStr">
        <is>
          <t>A10</t>
        </is>
      </c>
      <c r="B121" t="inlineStr">
        <is>
          <t>Urban economy, informal work &amp; street vending</t>
        </is>
      </c>
      <c r="C121">
        <f>COUNTIFS(Records!$M:$M,$A121,Records!$C:$C,"&gt;=2010",Records!$C:$C,"&lt;=2014")</f>
        <v/>
      </c>
      <c r="D121">
        <f>COUNTIFS(Records!$M:$M,$A121,Records!$C:$C,"&gt;=2015",Records!$C:$C,"&lt;=2019")</f>
        <v/>
      </c>
      <c r="E121">
        <f>COUNTIFS(Records!$M:$M,$A121,Records!$C:$C,"&gt;=2020",Records!$C:$C,"&lt;=2026")</f>
        <v/>
      </c>
      <c r="F121">
        <f>COUNTIFS(Records!$M:$M,$A121,Records!$C:$C,"&lt;2010")</f>
        <v/>
      </c>
      <c r="G121">
        <f>COUNTIFS(Records!$M:$M,$A121)</f>
        <v/>
      </c>
    </row>
    <row r="122">
      <c r="A122" t="inlineStr">
        <is>
          <t>A11</t>
        </is>
      </c>
      <c r="B122" t="inlineStr">
        <is>
          <t>Migration &amp; the city</t>
        </is>
      </c>
      <c r="C122">
        <f>COUNTIFS(Records!$M:$M,$A122,Records!$C:$C,"&gt;=2010",Records!$C:$C,"&lt;=2014")</f>
        <v/>
      </c>
      <c r="D122">
        <f>COUNTIFS(Records!$M:$M,$A122,Records!$C:$C,"&gt;=2015",Records!$C:$C,"&lt;=2019")</f>
        <v/>
      </c>
      <c r="E122">
        <f>COUNTIFS(Records!$M:$M,$A122,Records!$C:$C,"&gt;=2020",Records!$C:$C,"&lt;=2026")</f>
        <v/>
      </c>
      <c r="F122">
        <f>COUNTIFS(Records!$M:$M,$A122,Records!$C:$C,"&lt;2010")</f>
        <v/>
      </c>
      <c r="G122">
        <f>COUNTIFS(Records!$M:$M,$A122)</f>
        <v/>
      </c>
    </row>
    <row r="123">
      <c r="A123" t="inlineStr">
        <is>
          <t>A12</t>
        </is>
      </c>
      <c r="B123" t="inlineStr">
        <is>
          <t>Gender, caste, class &amp; the city</t>
        </is>
      </c>
      <c r="C123">
        <f>COUNTIFS(Records!$M:$M,$A123,Records!$C:$C,"&gt;=2010",Records!$C:$C,"&lt;=2014")</f>
        <v/>
      </c>
      <c r="D123">
        <f>COUNTIFS(Records!$M:$M,$A123,Records!$C:$C,"&gt;=2015",Records!$C:$C,"&lt;=2019")</f>
        <v/>
      </c>
      <c r="E123">
        <f>COUNTIFS(Records!$M:$M,$A123,Records!$C:$C,"&gt;=2020",Records!$C:$C,"&lt;=2026")</f>
        <v/>
      </c>
      <c r="F123">
        <f>COUNTIFS(Records!$M:$M,$A123,Records!$C:$C,"&lt;2010")</f>
        <v/>
      </c>
      <c r="G123">
        <f>COUNTIFS(Records!$M:$M,$A123)</f>
        <v/>
      </c>
    </row>
    <row r="124">
      <c r="A124" t="inlineStr">
        <is>
          <t>A13</t>
        </is>
      </c>
      <c r="B124" t="inlineStr">
        <is>
          <t>Heritage, mega-events &amp; "world-class" city making</t>
        </is>
      </c>
      <c r="C124">
        <f>COUNTIFS(Records!$M:$M,$A124,Records!$C:$C,"&gt;=2010",Records!$C:$C,"&lt;=2014")</f>
        <v/>
      </c>
      <c r="D124">
        <f>COUNTIFS(Records!$M:$M,$A124,Records!$C:$C,"&gt;=2015",Records!$C:$C,"&lt;=2019")</f>
        <v/>
      </c>
      <c r="E124">
        <f>COUNTIFS(Records!$M:$M,$A124,Records!$C:$C,"&gt;=2020",Records!$C:$C,"&lt;=2026")</f>
        <v/>
      </c>
      <c r="F124">
        <f>COUNTIFS(Records!$M:$M,$A124,Records!$C:$C,"&lt;2010")</f>
        <v/>
      </c>
      <c r="G124">
        <f>COUNTIFS(Records!$M:$M,$A124)</f>
        <v/>
      </c>
    </row>
    <row r="125">
      <c r="A125" t="inlineStr">
        <is>
          <t>A14</t>
        </is>
      </c>
      <c r="B125" t="inlineStr">
        <is>
          <t>Urban environment, climate &amp; risk</t>
        </is>
      </c>
      <c r="C125">
        <f>COUNTIFS(Records!$M:$M,$A125,Records!$C:$C,"&gt;=2010",Records!$C:$C,"&lt;=2014")</f>
        <v/>
      </c>
      <c r="D125">
        <f>COUNTIFS(Records!$M:$M,$A125,Records!$C:$C,"&gt;=2015",Records!$C:$C,"&lt;=2019")</f>
        <v/>
      </c>
      <c r="E125">
        <f>COUNTIFS(Records!$M:$M,$A125,Records!$C:$C,"&gt;=2020",Records!$C:$C,"&lt;=2026")</f>
        <v/>
      </c>
      <c r="F125">
        <f>COUNTIFS(Records!$M:$M,$A125,Records!$C:$C,"&lt;2010")</f>
        <v/>
      </c>
      <c r="G125">
        <f>COUNTIFS(Records!$M:$M,$A125)</f>
        <v/>
      </c>
    </row>
    <row r="126">
      <c r="A126" t="inlineStr">
        <is>
          <t>A15</t>
        </is>
      </c>
      <c r="B126" t="inlineStr">
        <is>
          <t>Urban &amp; planning theory, Southern urbanism</t>
        </is>
      </c>
      <c r="C126">
        <f>COUNTIFS(Records!$M:$M,$A126,Records!$C:$C,"&gt;=2010",Records!$C:$C,"&lt;=2014")</f>
        <v/>
      </c>
      <c r="D126">
        <f>COUNTIFS(Records!$M:$M,$A126,Records!$C:$C,"&gt;=2015",Records!$C:$C,"&lt;=2019")</f>
        <v/>
      </c>
      <c r="E126">
        <f>COUNTIFS(Records!$M:$M,$A126,Records!$C:$C,"&gt;=2020",Records!$C:$C,"&lt;=2026")</f>
        <v/>
      </c>
      <c r="F126">
        <f>COUNTIFS(Records!$M:$M,$A126,Records!$C:$C,"&lt;2010")</f>
        <v/>
      </c>
      <c r="G126">
        <f>COUNTIFS(Records!$M:$M,$A126)</f>
        <v/>
      </c>
    </row>
    <row r="127">
      <c r="A127" t="inlineStr">
        <is>
          <t>A16</t>
        </is>
      </c>
      <c r="B127" t="inlineStr">
        <is>
          <t>Night-time city &amp; urban time</t>
        </is>
      </c>
      <c r="C127">
        <f>COUNTIFS(Records!$M:$M,$A127,Records!$C:$C,"&gt;=2010",Records!$C:$C,"&lt;=2014")</f>
        <v/>
      </c>
      <c r="D127">
        <f>COUNTIFS(Records!$M:$M,$A127,Records!$C:$C,"&gt;=2015",Records!$C:$C,"&lt;=2019")</f>
        <v/>
      </c>
      <c r="E127">
        <f>COUNTIFS(Records!$M:$M,$A127,Records!$C:$C,"&gt;=2020",Records!$C:$C,"&lt;=2026")</f>
        <v/>
      </c>
      <c r="F127">
        <f>COUNTIFS(Records!$M:$M,$A127,Records!$C:$C,"&lt;2010")</f>
        <v/>
      </c>
      <c r="G127">
        <f>COUNTIFS(Records!$M:$M,$A127)</f>
        <v/>
      </c>
    </row>
    <row r="128">
      <c r="A128" t="inlineStr">
        <is>
          <t>B1</t>
        </is>
      </c>
      <c r="B128" t="inlineStr">
        <is>
          <t>Platforms &amp; platform capitalism</t>
        </is>
      </c>
      <c r="C128">
        <f>COUNTIFS(Records!$M:$M,$A128,Records!$C:$C,"&gt;=2010",Records!$C:$C,"&lt;=2014")</f>
        <v/>
      </c>
      <c r="D128">
        <f>COUNTIFS(Records!$M:$M,$A128,Records!$C:$C,"&gt;=2015",Records!$C:$C,"&lt;=2019")</f>
        <v/>
      </c>
      <c r="E128">
        <f>COUNTIFS(Records!$M:$M,$A128,Records!$C:$C,"&gt;=2020",Records!$C:$C,"&lt;=2026")</f>
        <v/>
      </c>
      <c r="F128">
        <f>COUNTIFS(Records!$M:$M,$A128,Records!$C:$C,"&lt;2010")</f>
        <v/>
      </c>
      <c r="G128">
        <f>COUNTIFS(Records!$M:$M,$A128)</f>
        <v/>
      </c>
    </row>
    <row r="129">
      <c r="A129" t="inlineStr">
        <is>
          <t>B2</t>
        </is>
      </c>
      <c r="B129" t="inlineStr">
        <is>
          <t>Datafication, data justice &amp; data colonialism</t>
        </is>
      </c>
      <c r="C129">
        <f>COUNTIFS(Records!$M:$M,$A129,Records!$C:$C,"&gt;=2010",Records!$C:$C,"&lt;=2014")</f>
        <v/>
      </c>
      <c r="D129">
        <f>COUNTIFS(Records!$M:$M,$A129,Records!$C:$C,"&gt;=2015",Records!$C:$C,"&lt;=2019")</f>
        <v/>
      </c>
      <c r="E129">
        <f>COUNTIFS(Records!$M:$M,$A129,Records!$C:$C,"&gt;=2020",Records!$C:$C,"&lt;=2026")</f>
        <v/>
      </c>
      <c r="F129">
        <f>COUNTIFS(Records!$M:$M,$A129,Records!$C:$C,"&lt;2010")</f>
        <v/>
      </c>
      <c r="G129">
        <f>COUNTIFS(Records!$M:$M,$A129)</f>
        <v/>
      </c>
    </row>
    <row r="130">
      <c r="A130" t="inlineStr">
        <is>
          <t>B3</t>
        </is>
      </c>
      <c r="B130" t="inlineStr">
        <is>
          <t>Surveillance studies</t>
        </is>
      </c>
      <c r="C130">
        <f>COUNTIFS(Records!$M:$M,$A130,Records!$C:$C,"&gt;=2010",Records!$C:$C,"&lt;=2014")</f>
        <v/>
      </c>
      <c r="D130">
        <f>COUNTIFS(Records!$M:$M,$A130,Records!$C:$C,"&gt;=2015",Records!$C:$C,"&lt;=2019")</f>
        <v/>
      </c>
      <c r="E130">
        <f>COUNTIFS(Records!$M:$M,$A130,Records!$C:$C,"&gt;=2020",Records!$C:$C,"&lt;=2026")</f>
        <v/>
      </c>
      <c r="F130">
        <f>COUNTIFS(Records!$M:$M,$A130,Records!$C:$C,"&lt;2010")</f>
        <v/>
      </c>
      <c r="G130">
        <f>COUNTIFS(Records!$M:$M,$A130)</f>
        <v/>
      </c>
    </row>
    <row r="131">
      <c r="A131" t="inlineStr">
        <is>
          <t>B4</t>
        </is>
      </c>
      <c r="B131" t="inlineStr">
        <is>
          <t>Algorithmic governance &amp; AI in the public sector</t>
        </is>
      </c>
      <c r="C131">
        <f>COUNTIFS(Records!$M:$M,$A131,Records!$C:$C,"&gt;=2010",Records!$C:$C,"&lt;=2014")</f>
        <v/>
      </c>
      <c r="D131">
        <f>COUNTIFS(Records!$M:$M,$A131,Records!$C:$C,"&gt;=2015",Records!$C:$C,"&lt;=2019")</f>
        <v/>
      </c>
      <c r="E131">
        <f>COUNTIFS(Records!$M:$M,$A131,Records!$C:$C,"&gt;=2020",Records!$C:$C,"&lt;=2026")</f>
        <v/>
      </c>
      <c r="F131">
        <f>COUNTIFS(Records!$M:$M,$A131,Records!$C:$C,"&lt;2010")</f>
        <v/>
      </c>
      <c r="G131">
        <f>COUNTIFS(Records!$M:$M,$A131)</f>
        <v/>
      </c>
    </row>
    <row r="132">
      <c r="A132" t="inlineStr">
        <is>
          <t>B5</t>
        </is>
      </c>
      <c r="B132" t="inlineStr">
        <is>
          <t>Digital identity &amp; digital public infrastructure (DPI)</t>
        </is>
      </c>
      <c r="C132">
        <f>COUNTIFS(Records!$M:$M,$A132,Records!$C:$C,"&gt;=2010",Records!$C:$C,"&lt;=2014")</f>
        <v/>
      </c>
      <c r="D132">
        <f>COUNTIFS(Records!$M:$M,$A132,Records!$C:$C,"&gt;=2015",Records!$C:$C,"&lt;=2019")</f>
        <v/>
      </c>
      <c r="E132">
        <f>COUNTIFS(Records!$M:$M,$A132,Records!$C:$C,"&gt;=2020",Records!$C:$C,"&lt;=2026")</f>
        <v/>
      </c>
      <c r="F132">
        <f>COUNTIFS(Records!$M:$M,$A132,Records!$C:$C,"&lt;2010")</f>
        <v/>
      </c>
      <c r="G132">
        <f>COUNTIFS(Records!$M:$M,$A132)</f>
        <v/>
      </c>
    </row>
    <row r="133">
      <c r="A133" t="inlineStr">
        <is>
          <t>B6</t>
        </is>
      </c>
      <c r="B133" t="inlineStr">
        <is>
          <t>Digital finance &amp; payments</t>
        </is>
      </c>
      <c r="C133">
        <f>COUNTIFS(Records!$M:$M,$A133,Records!$C:$C,"&gt;=2010",Records!$C:$C,"&lt;=2014")</f>
        <v/>
      </c>
      <c r="D133">
        <f>COUNTIFS(Records!$M:$M,$A133,Records!$C:$C,"&gt;=2015",Records!$C:$C,"&lt;=2019")</f>
        <v/>
      </c>
      <c r="E133">
        <f>COUNTIFS(Records!$M:$M,$A133,Records!$C:$C,"&gt;=2020",Records!$C:$C,"&lt;=2026")</f>
        <v/>
      </c>
      <c r="F133">
        <f>COUNTIFS(Records!$M:$M,$A133,Records!$C:$C,"&lt;2010")</f>
        <v/>
      </c>
      <c r="G133">
        <f>COUNTIFS(Records!$M:$M,$A133)</f>
        <v/>
      </c>
    </row>
    <row r="134">
      <c r="A134" t="inlineStr">
        <is>
          <t>B7</t>
        </is>
      </c>
      <c r="B134" t="inlineStr">
        <is>
          <t>Digital divides &amp; digital inclusion</t>
        </is>
      </c>
      <c r="C134">
        <f>COUNTIFS(Records!$M:$M,$A134,Records!$C:$C,"&gt;=2010",Records!$C:$C,"&lt;=2014")</f>
        <v/>
      </c>
      <c r="D134">
        <f>COUNTIFS(Records!$M:$M,$A134,Records!$C:$C,"&gt;=2015",Records!$C:$C,"&lt;=2019")</f>
        <v/>
      </c>
      <c r="E134">
        <f>COUNTIFS(Records!$M:$M,$A134,Records!$C:$C,"&gt;=2020",Records!$C:$C,"&lt;=2026")</f>
        <v/>
      </c>
      <c r="F134">
        <f>COUNTIFS(Records!$M:$M,$A134,Records!$C:$C,"&lt;2010")</f>
        <v/>
      </c>
      <c r="G134">
        <f>COUNTIFS(Records!$M:$M,$A134)</f>
        <v/>
      </c>
    </row>
    <row r="135">
      <c r="A135" t="inlineStr">
        <is>
          <t>B8</t>
        </is>
      </c>
      <c r="B135" t="inlineStr">
        <is>
          <t>Social media, digital publics &amp; political communication</t>
        </is>
      </c>
      <c r="C135">
        <f>COUNTIFS(Records!$M:$M,$A135,Records!$C:$C,"&gt;=2010",Records!$C:$C,"&lt;=2014")</f>
        <v/>
      </c>
      <c r="D135">
        <f>COUNTIFS(Records!$M:$M,$A135,Records!$C:$C,"&gt;=2015",Records!$C:$C,"&lt;=2019")</f>
        <v/>
      </c>
      <c r="E135">
        <f>COUNTIFS(Records!$M:$M,$A135,Records!$C:$C,"&gt;=2020",Records!$C:$C,"&lt;=2026")</f>
        <v/>
      </c>
      <c r="F135">
        <f>COUNTIFS(Records!$M:$M,$A135,Records!$C:$C,"&lt;2010")</f>
        <v/>
      </c>
      <c r="G135">
        <f>COUNTIFS(Records!$M:$M,$A135)</f>
        <v/>
      </c>
    </row>
    <row r="136">
      <c r="A136" t="inlineStr">
        <is>
          <t>B9</t>
        </is>
      </c>
      <c r="B136" t="inlineStr">
        <is>
          <t>Misinformation &amp; extreme speech</t>
        </is>
      </c>
      <c r="C136">
        <f>COUNTIFS(Records!$M:$M,$A136,Records!$C:$C,"&gt;=2010",Records!$C:$C,"&lt;=2014")</f>
        <v/>
      </c>
      <c r="D136">
        <f>COUNTIFS(Records!$M:$M,$A136,Records!$C:$C,"&gt;=2015",Records!$C:$C,"&lt;=2019")</f>
        <v/>
      </c>
      <c r="E136">
        <f>COUNTIFS(Records!$M:$M,$A136,Records!$C:$C,"&gt;=2020",Records!$C:$C,"&lt;=2026")</f>
        <v/>
      </c>
      <c r="F136">
        <f>COUNTIFS(Records!$M:$M,$A136,Records!$C:$C,"&lt;2010")</f>
        <v/>
      </c>
      <c r="G136">
        <f>COUNTIFS(Records!$M:$M,$A136)</f>
        <v/>
      </c>
    </row>
    <row r="137">
      <c r="A137" t="inlineStr">
        <is>
          <t>B10</t>
        </is>
      </c>
      <c r="B137" t="inlineStr">
        <is>
          <t>Cybercrime, fraud &amp; cybersecurity (social science)</t>
        </is>
      </c>
      <c r="C137">
        <f>COUNTIFS(Records!$M:$M,$A137,Records!$C:$C,"&gt;=2010",Records!$C:$C,"&lt;=2014")</f>
        <v/>
      </c>
      <c r="D137">
        <f>COUNTIFS(Records!$M:$M,$A137,Records!$C:$C,"&gt;=2015",Records!$C:$C,"&lt;=2019")</f>
        <v/>
      </c>
      <c r="E137">
        <f>COUNTIFS(Records!$M:$M,$A137,Records!$C:$C,"&gt;=2020",Records!$C:$C,"&lt;=2026")</f>
        <v/>
      </c>
      <c r="F137">
        <f>COUNTIFS(Records!$M:$M,$A137,Records!$C:$C,"&lt;2010")</f>
        <v/>
      </c>
      <c r="G137">
        <f>COUNTIFS(Records!$M:$M,$A137)</f>
        <v/>
      </c>
    </row>
    <row r="138">
      <c r="A138" t="inlineStr">
        <is>
          <t>B11</t>
        </is>
      </c>
      <c r="B138" t="inlineStr">
        <is>
          <t>Digital labour</t>
        </is>
      </c>
      <c r="C138">
        <f>COUNTIFS(Records!$M:$M,$A138,Records!$C:$C,"&gt;=2010",Records!$C:$C,"&lt;=2014")</f>
        <v/>
      </c>
      <c r="D138">
        <f>COUNTIFS(Records!$M:$M,$A138,Records!$C:$C,"&gt;=2015",Records!$C:$C,"&lt;=2019")</f>
        <v/>
      </c>
      <c r="E138">
        <f>COUNTIFS(Records!$M:$M,$A138,Records!$C:$C,"&gt;=2020",Records!$C:$C,"&lt;=2026")</f>
        <v/>
      </c>
      <c r="F138">
        <f>COUNTIFS(Records!$M:$M,$A138,Records!$C:$C,"&lt;2010")</f>
        <v/>
      </c>
      <c r="G138">
        <f>COUNTIFS(Records!$M:$M,$A138)</f>
        <v/>
      </c>
    </row>
    <row r="139">
      <c r="A139" t="inlineStr">
        <is>
          <t>B12</t>
        </is>
      </c>
      <c r="B139" t="inlineStr">
        <is>
          <t>Infrastructure studies &amp; STS of digital systems</t>
        </is>
      </c>
      <c r="C139">
        <f>COUNTIFS(Records!$M:$M,$A139,Records!$C:$C,"&gt;=2010",Records!$C:$C,"&lt;=2014")</f>
        <v/>
      </c>
      <c r="D139">
        <f>COUNTIFS(Records!$M:$M,$A139,Records!$C:$C,"&gt;=2015",Records!$C:$C,"&lt;=2019")</f>
        <v/>
      </c>
      <c r="E139">
        <f>COUNTIFS(Records!$M:$M,$A139,Records!$C:$C,"&gt;=2020",Records!$C:$C,"&lt;=2026")</f>
        <v/>
      </c>
      <c r="F139">
        <f>COUNTIFS(Records!$M:$M,$A139,Records!$C:$C,"&lt;2010")</f>
        <v/>
      </c>
      <c r="G139">
        <f>COUNTIFS(Records!$M:$M,$A139)</f>
        <v/>
      </c>
    </row>
    <row r="140">
      <c r="A140" t="inlineStr">
        <is>
          <t>B13</t>
        </is>
      </c>
      <c r="B140" t="inlineStr">
        <is>
          <t>Mobile phones &amp; everyday digital life</t>
        </is>
      </c>
      <c r="C140">
        <f>COUNTIFS(Records!$M:$M,$A140,Records!$C:$C,"&gt;=2010",Records!$C:$C,"&lt;=2014")</f>
        <v/>
      </c>
      <c r="D140">
        <f>COUNTIFS(Records!$M:$M,$A140,Records!$C:$C,"&gt;=2015",Records!$C:$C,"&lt;=2019")</f>
        <v/>
      </c>
      <c r="E140">
        <f>COUNTIFS(Records!$M:$M,$A140,Records!$C:$C,"&gt;=2020",Records!$C:$C,"&lt;=2026")</f>
        <v/>
      </c>
      <c r="F140">
        <f>COUNTIFS(Records!$M:$M,$A140,Records!$C:$C,"&lt;2010")</f>
        <v/>
      </c>
      <c r="G140">
        <f>COUNTIFS(Records!$M:$M,$A140)</f>
        <v/>
      </c>
    </row>
    <row r="141">
      <c r="A141" t="inlineStr">
        <is>
          <t>B14</t>
        </is>
      </c>
      <c r="B141" t="inlineStr">
        <is>
          <t>Generative AI &amp; society</t>
        </is>
      </c>
      <c r="C141">
        <f>COUNTIFS(Records!$M:$M,$A141,Records!$C:$C,"&gt;=2010",Records!$C:$C,"&lt;=2014")</f>
        <v/>
      </c>
      <c r="D141">
        <f>COUNTIFS(Records!$M:$M,$A141,Records!$C:$C,"&gt;=2015",Records!$C:$C,"&lt;=2019")</f>
        <v/>
      </c>
      <c r="E141">
        <f>COUNTIFS(Records!$M:$M,$A141,Records!$C:$C,"&gt;=2020",Records!$C:$C,"&lt;=2026")</f>
        <v/>
      </c>
      <c r="F141">
        <f>COUNTIFS(Records!$M:$M,$A141,Records!$C:$C,"&lt;2010")</f>
        <v/>
      </c>
      <c r="G141">
        <f>COUNTIFS(Records!$M:$M,$A141)</f>
        <v/>
      </c>
    </row>
    <row r="142">
      <c r="A142" t="inlineStr">
        <is>
          <t>C1</t>
        </is>
      </c>
      <c r="B142" t="inlineStr">
        <is>
          <t>Smart cities &amp; smart urbanism</t>
        </is>
      </c>
      <c r="C142">
        <f>COUNTIFS(Records!$M:$M,$A142,Records!$C:$C,"&gt;=2010",Records!$C:$C,"&lt;=2014")</f>
        <v/>
      </c>
      <c r="D142">
        <f>COUNTIFS(Records!$M:$M,$A142,Records!$C:$C,"&gt;=2015",Records!$C:$C,"&lt;=2019")</f>
        <v/>
      </c>
      <c r="E142">
        <f>COUNTIFS(Records!$M:$M,$A142,Records!$C:$C,"&gt;=2020",Records!$C:$C,"&lt;=2026")</f>
        <v/>
      </c>
      <c r="F142">
        <f>COUNTIFS(Records!$M:$M,$A142,Records!$C:$C,"&lt;2010")</f>
        <v/>
      </c>
      <c r="G142">
        <f>COUNTIFS(Records!$M:$M,$A142)</f>
        <v/>
      </c>
    </row>
    <row r="143">
      <c r="A143" t="inlineStr">
        <is>
          <t>C2</t>
        </is>
      </c>
      <c r="B143" t="inlineStr">
        <is>
          <t>Platform urbanism</t>
        </is>
      </c>
      <c r="C143">
        <f>COUNTIFS(Records!$M:$M,$A143,Records!$C:$C,"&gt;=2010",Records!$C:$C,"&lt;=2014")</f>
        <v/>
      </c>
      <c r="D143">
        <f>COUNTIFS(Records!$M:$M,$A143,Records!$C:$C,"&gt;=2015",Records!$C:$C,"&lt;=2019")</f>
        <v/>
      </c>
      <c r="E143">
        <f>COUNTIFS(Records!$M:$M,$A143,Records!$C:$C,"&gt;=2020",Records!$C:$C,"&lt;=2026")</f>
        <v/>
      </c>
      <c r="F143">
        <f>COUNTIFS(Records!$M:$M,$A143,Records!$C:$C,"&lt;2010")</f>
        <v/>
      </c>
      <c r="G143">
        <f>COUNTIFS(Records!$M:$M,$A143)</f>
        <v/>
      </c>
    </row>
    <row r="144">
      <c r="A144" t="inlineStr">
        <is>
          <t>C3</t>
        </is>
      </c>
      <c r="B144" t="inlineStr">
        <is>
          <t>Digital geographies &amp; code/space</t>
        </is>
      </c>
      <c r="C144">
        <f>COUNTIFS(Records!$M:$M,$A144,Records!$C:$C,"&gt;=2010",Records!$C:$C,"&lt;=2014")</f>
        <v/>
      </c>
      <c r="D144">
        <f>COUNTIFS(Records!$M:$M,$A144,Records!$C:$C,"&gt;=2015",Records!$C:$C,"&lt;=2019")</f>
        <v/>
      </c>
      <c r="E144">
        <f>COUNTIFS(Records!$M:$M,$A144,Records!$C:$C,"&gt;=2020",Records!$C:$C,"&lt;=2026")</f>
        <v/>
      </c>
      <c r="F144">
        <f>COUNTIFS(Records!$M:$M,$A144,Records!$C:$C,"&lt;2010")</f>
        <v/>
      </c>
      <c r="G144">
        <f>COUNTIFS(Records!$M:$M,$A144)</f>
        <v/>
      </c>
    </row>
    <row r="145">
      <c r="A145" t="inlineStr">
        <is>
          <t>C4</t>
        </is>
      </c>
      <c r="B145" t="inlineStr">
        <is>
          <t>Urban informatics &amp; urban computing</t>
        </is>
      </c>
      <c r="C145">
        <f>COUNTIFS(Records!$M:$M,$A145,Records!$C:$C,"&gt;=2010",Records!$C:$C,"&lt;=2014")</f>
        <v/>
      </c>
      <c r="D145">
        <f>COUNTIFS(Records!$M:$M,$A145,Records!$C:$C,"&gt;=2015",Records!$C:$C,"&lt;=2019")</f>
        <v/>
      </c>
      <c r="E145">
        <f>COUNTIFS(Records!$M:$M,$A145,Records!$C:$C,"&gt;=2020",Records!$C:$C,"&lt;=2026")</f>
        <v/>
      </c>
      <c r="F145">
        <f>COUNTIFS(Records!$M:$M,$A145,Records!$C:$C,"&lt;2010")</f>
        <v/>
      </c>
      <c r="G145">
        <f>COUNTIFS(Records!$M:$M,$A145)</f>
        <v/>
      </c>
    </row>
    <row r="146">
      <c r="A146" t="inlineStr">
        <is>
          <t>C5</t>
        </is>
      </c>
      <c r="B146" t="inlineStr">
        <is>
          <t>Urban data governance &amp; data justice in cities</t>
        </is>
      </c>
      <c r="C146">
        <f>COUNTIFS(Records!$M:$M,$A146,Records!$C:$C,"&gt;=2010",Records!$C:$C,"&lt;=2014")</f>
        <v/>
      </c>
      <c r="D146">
        <f>COUNTIFS(Records!$M:$M,$A146,Records!$C:$C,"&gt;=2015",Records!$C:$C,"&lt;=2019")</f>
        <v/>
      </c>
      <c r="E146">
        <f>COUNTIFS(Records!$M:$M,$A146,Records!$C:$C,"&gt;=2020",Records!$C:$C,"&lt;=2026")</f>
        <v/>
      </c>
      <c r="F146">
        <f>COUNTIFS(Records!$M:$M,$A146,Records!$C:$C,"&lt;2010")</f>
        <v/>
      </c>
      <c r="G146">
        <f>COUNTIFS(Records!$M:$M,$A146)</f>
        <v/>
      </c>
    </row>
    <row r="147">
      <c r="A147" t="inlineStr">
        <is>
          <t>C6</t>
        </is>
      </c>
      <c r="B147" t="inlineStr">
        <is>
          <t>Urban surveillance, policing &amp; biometrics in public space</t>
        </is>
      </c>
      <c r="C147">
        <f>COUNTIFS(Records!$M:$M,$A147,Records!$C:$C,"&gt;=2010",Records!$C:$C,"&lt;=2014")</f>
        <v/>
      </c>
      <c r="D147">
        <f>COUNTIFS(Records!$M:$M,$A147,Records!$C:$C,"&gt;=2015",Records!$C:$C,"&lt;=2019")</f>
        <v/>
      </c>
      <c r="E147">
        <f>COUNTIFS(Records!$M:$M,$A147,Records!$C:$C,"&gt;=2020",Records!$C:$C,"&lt;=2026")</f>
        <v/>
      </c>
      <c r="F147">
        <f>COUNTIFS(Records!$M:$M,$A147,Records!$C:$C,"&lt;2010")</f>
        <v/>
      </c>
      <c r="G147">
        <f>COUNTIFS(Records!$M:$M,$A147)</f>
        <v/>
      </c>
    </row>
    <row r="148">
      <c r="A148" t="inlineStr">
        <is>
          <t>C7</t>
        </is>
      </c>
      <c r="B148" t="inlineStr">
        <is>
          <t>Algorithmic &amp; automated urban governance, municipal AI / GenAI</t>
        </is>
      </c>
      <c r="C148">
        <f>COUNTIFS(Records!$M:$M,$A148,Records!$C:$C,"&gt;=2010",Records!$C:$C,"&lt;=2014")</f>
        <v/>
      </c>
      <c r="D148">
        <f>COUNTIFS(Records!$M:$M,$A148,Records!$C:$C,"&gt;=2015",Records!$C:$C,"&lt;=2019")</f>
        <v/>
      </c>
      <c r="E148">
        <f>COUNTIFS(Records!$M:$M,$A148,Records!$C:$C,"&gt;=2020",Records!$C:$C,"&lt;=2026")</f>
        <v/>
      </c>
      <c r="F148">
        <f>COUNTIFS(Records!$M:$M,$A148,Records!$C:$C,"&lt;2010")</f>
        <v/>
      </c>
      <c r="G148">
        <f>COUNTIFS(Records!$M:$M,$A148)</f>
        <v/>
      </c>
    </row>
    <row r="149">
      <c r="A149" t="inlineStr">
        <is>
          <t>C8</t>
        </is>
      </c>
      <c r="B149" t="inlineStr">
        <is>
          <t>City-level DPI &amp; urban e-government</t>
        </is>
      </c>
      <c r="C149">
        <f>COUNTIFS(Records!$M:$M,$A149,Records!$C:$C,"&gt;=2010",Records!$C:$C,"&lt;=2014")</f>
        <v/>
      </c>
      <c r="D149">
        <f>COUNTIFS(Records!$M:$M,$A149,Records!$C:$C,"&gt;=2015",Records!$C:$C,"&lt;=2019")</f>
        <v/>
      </c>
      <c r="E149">
        <f>COUNTIFS(Records!$M:$M,$A149,Records!$C:$C,"&gt;=2020",Records!$C:$C,"&lt;=2026")</f>
        <v/>
      </c>
      <c r="F149">
        <f>COUNTIFS(Records!$M:$M,$A149,Records!$C:$C,"&lt;2010")</f>
        <v/>
      </c>
      <c r="G149">
        <f>COUNTIFS(Records!$M:$M,$A149)</f>
        <v/>
      </c>
    </row>
    <row r="150">
      <c r="A150" t="inlineStr">
        <is>
          <t>C9</t>
        </is>
      </c>
      <c r="B150" t="inlineStr">
        <is>
          <t>Digital mobility (ride-hailing, MaaS, digital ticketing, transit apps)</t>
        </is>
      </c>
      <c r="C150">
        <f>COUNTIFS(Records!$M:$M,$A150,Records!$C:$C,"&gt;=2010",Records!$C:$C,"&lt;=2014")</f>
        <v/>
      </c>
      <c r="D150">
        <f>COUNTIFS(Records!$M:$M,$A150,Records!$C:$C,"&gt;=2015",Records!$C:$C,"&lt;=2019")</f>
        <v/>
      </c>
      <c r="E150">
        <f>COUNTIFS(Records!$M:$M,$A150,Records!$C:$C,"&gt;=2020",Records!$C:$C,"&lt;=2026")</f>
        <v/>
      </c>
      <c r="F150">
        <f>COUNTIFS(Records!$M:$M,$A150,Records!$C:$C,"&lt;2010")</f>
        <v/>
      </c>
      <c r="G150">
        <f>COUNTIFS(Records!$M:$M,$A150)</f>
        <v/>
      </c>
    </row>
    <row r="151">
      <c r="A151" t="inlineStr">
        <is>
          <t>C10</t>
        </is>
      </c>
      <c r="B151" t="inlineStr">
        <is>
          <t>Proptech, housing platforms &amp; short-term rentals</t>
        </is>
      </c>
      <c r="C151">
        <f>COUNTIFS(Records!$M:$M,$A151,Records!$C:$C,"&gt;=2010",Records!$C:$C,"&lt;=2014")</f>
        <v/>
      </c>
      <c r="D151">
        <f>COUNTIFS(Records!$M:$M,$A151,Records!$C:$C,"&gt;=2015",Records!$C:$C,"&lt;=2019")</f>
        <v/>
      </c>
      <c r="E151">
        <f>COUNTIFS(Records!$M:$M,$A151,Records!$C:$C,"&gt;=2020",Records!$C:$C,"&lt;=2026")</f>
        <v/>
      </c>
      <c r="F151">
        <f>COUNTIFS(Records!$M:$M,$A151,Records!$C:$C,"&lt;2010")</f>
        <v/>
      </c>
      <c r="G151">
        <f>COUNTIFS(Records!$M:$M,$A151)</f>
        <v/>
      </c>
    </row>
    <row r="152">
      <c r="A152" t="inlineStr">
        <is>
          <t>C11</t>
        </is>
      </c>
      <c r="B152" t="inlineStr">
        <is>
          <t>Digital payments in urban economies (QR, UPI, mobile money)</t>
        </is>
      </c>
      <c r="C152">
        <f>COUNTIFS(Records!$M:$M,$A152,Records!$C:$C,"&gt;=2010",Records!$C:$C,"&lt;=2014")</f>
        <v/>
      </c>
      <c r="D152">
        <f>COUNTIFS(Records!$M:$M,$A152,Records!$C:$C,"&gt;=2015",Records!$C:$C,"&lt;=2019")</f>
        <v/>
      </c>
      <c r="E152">
        <f>COUNTIFS(Records!$M:$M,$A152,Records!$C:$C,"&gt;=2020",Records!$C:$C,"&lt;=2026")</f>
        <v/>
      </c>
      <c r="F152">
        <f>COUNTIFS(Records!$M:$M,$A152,Records!$C:$C,"&lt;2010")</f>
        <v/>
      </c>
      <c r="G152">
        <f>COUNTIFS(Records!$M:$M,$A152)</f>
        <v/>
      </c>
    </row>
    <row r="153">
      <c r="A153" t="inlineStr">
        <is>
          <t>C12</t>
        </is>
      </c>
      <c r="B153" t="inlineStr">
        <is>
          <t>Civic tech, e-participation &amp; digital urban publics</t>
        </is>
      </c>
      <c r="C153">
        <f>COUNTIFS(Records!$M:$M,$A153,Records!$C:$C,"&gt;=2010",Records!$C:$C,"&lt;=2014")</f>
        <v/>
      </c>
      <c r="D153">
        <f>COUNTIFS(Records!$M:$M,$A153,Records!$C:$C,"&gt;=2015",Records!$C:$C,"&lt;=2019")</f>
        <v/>
      </c>
      <c r="E153">
        <f>COUNTIFS(Records!$M:$M,$A153,Records!$C:$C,"&gt;=2020",Records!$C:$C,"&lt;=2026")</f>
        <v/>
      </c>
      <c r="F153">
        <f>COUNTIFS(Records!$M:$M,$A153,Records!$C:$C,"&lt;2010")</f>
        <v/>
      </c>
      <c r="G153">
        <f>COUNTIFS(Records!$M:$M,$A153)</f>
        <v/>
      </c>
    </row>
    <row r="154">
      <c r="A154" t="inlineStr">
        <is>
          <t>C13</t>
        </is>
      </c>
      <c r="B154" t="inlineStr">
        <is>
          <t>Digital twins, simulation &amp; visual rendering of cities</t>
        </is>
      </c>
      <c r="C154">
        <f>COUNTIFS(Records!$M:$M,$A154,Records!$C:$C,"&gt;=2010",Records!$C:$C,"&lt;=2014")</f>
        <v/>
      </c>
      <c r="D154">
        <f>COUNTIFS(Records!$M:$M,$A154,Records!$C:$C,"&gt;=2015",Records!$C:$C,"&lt;=2019")</f>
        <v/>
      </c>
      <c r="E154">
        <f>COUNTIFS(Records!$M:$M,$A154,Records!$C:$C,"&gt;=2020",Records!$C:$C,"&lt;=2026")</f>
        <v/>
      </c>
      <c r="F154">
        <f>COUNTIFS(Records!$M:$M,$A154,Records!$C:$C,"&lt;2010")</f>
        <v/>
      </c>
      <c r="G154">
        <f>COUNTIFS(Records!$M:$M,$A154)</f>
        <v/>
      </c>
    </row>
    <row r="155">
      <c r="A155" t="inlineStr">
        <is>
          <t>C14</t>
        </is>
      </c>
      <c r="B155" t="inlineStr">
        <is>
          <t>Digital informality (informal settlements, vendors &amp; digital systems)</t>
        </is>
      </c>
      <c r="C155">
        <f>COUNTIFS(Records!$M:$M,$A155,Records!$C:$C,"&gt;=2010",Records!$C:$C,"&lt;=2014")</f>
        <v/>
      </c>
      <c r="D155">
        <f>COUNTIFS(Records!$M:$M,$A155,Records!$C:$C,"&gt;=2015",Records!$C:$C,"&lt;=2019")</f>
        <v/>
      </c>
      <c r="E155">
        <f>COUNTIFS(Records!$M:$M,$A155,Records!$C:$C,"&gt;=2020",Records!$C:$C,"&lt;=2026")</f>
        <v/>
      </c>
      <c r="F155">
        <f>COUNTIFS(Records!$M:$M,$A155,Records!$C:$C,"&lt;2010")</f>
        <v/>
      </c>
      <c r="G155">
        <f>COUNTIFS(Records!$M:$M,$A155)</f>
        <v/>
      </c>
    </row>
    <row r="156">
      <c r="A156" t="inlineStr">
        <is>
          <t>C15</t>
        </is>
      </c>
      <c r="B156" t="inlineStr">
        <is>
          <t>Gig work in the city (urban and spatial focus)</t>
        </is>
      </c>
      <c r="C156">
        <f>COUNTIFS(Records!$M:$M,$A156,Records!$C:$C,"&gt;=2010",Records!$C:$C,"&lt;=2014")</f>
        <v/>
      </c>
      <c r="D156">
        <f>COUNTIFS(Records!$M:$M,$A156,Records!$C:$C,"&gt;=2015",Records!$C:$C,"&lt;=2019")</f>
        <v/>
      </c>
      <c r="E156">
        <f>COUNTIFS(Records!$M:$M,$A156,Records!$C:$C,"&gt;=2020",Records!$C:$C,"&lt;=2026")</f>
        <v/>
      </c>
      <c r="F156">
        <f>COUNTIFS(Records!$M:$M,$A156,Records!$C:$C,"&lt;2010")</f>
        <v/>
      </c>
      <c r="G156">
        <f>COUNTIFS(Records!$M:$M,$A156)</f>
        <v/>
      </c>
    </row>
    <row r="157">
      <c r="A157" t="inlineStr">
        <is>
          <t>C16</t>
        </is>
      </c>
      <c r="B157" t="inlineStr">
        <is>
          <t>Digital heritage, mapping &amp; representation of cities</t>
        </is>
      </c>
      <c r="C157">
        <f>COUNTIFS(Records!$M:$M,$A157,Records!$C:$C,"&gt;=2010",Records!$C:$C,"&lt;=2014")</f>
        <v/>
      </c>
      <c r="D157">
        <f>COUNTIFS(Records!$M:$M,$A157,Records!$C:$C,"&gt;=2015",Records!$C:$C,"&lt;=2019")</f>
        <v/>
      </c>
      <c r="E157">
        <f>COUNTIFS(Records!$M:$M,$A157,Records!$C:$C,"&gt;=2020",Records!$C:$C,"&lt;=2026")</f>
        <v/>
      </c>
      <c r="F157">
        <f>COUNTIFS(Records!$M:$M,$A157,Records!$C:$C,"&lt;2010")</f>
        <v/>
      </c>
      <c r="G157">
        <f>COUNTIFS(Records!$M:$M,$A157)</f>
        <v/>
      </c>
    </row>
    <row r="158">
      <c r="A158" t="inlineStr">
        <is>
          <t>C17</t>
        </is>
      </c>
      <c r="B158" t="inlineStr">
        <is>
          <t>Urban cybersecurity &amp; cyber-physical infrastructure</t>
        </is>
      </c>
      <c r="C158">
        <f>COUNTIFS(Records!$M:$M,$A158,Records!$C:$C,"&gt;=2010",Records!$C:$C,"&lt;=2014")</f>
        <v/>
      </c>
      <c r="D158">
        <f>COUNTIFS(Records!$M:$M,$A158,Records!$C:$C,"&gt;=2015",Records!$C:$C,"&lt;=2019")</f>
        <v/>
      </c>
      <c r="E158">
        <f>COUNTIFS(Records!$M:$M,$A158,Records!$C:$C,"&gt;=2020",Records!$C:$C,"&lt;=2026")</f>
        <v/>
      </c>
      <c r="F158">
        <f>COUNTIFS(Records!$M:$M,$A158,Records!$C:$C,"&lt;2010")</f>
        <v/>
      </c>
      <c r="G158">
        <f>COUNTIFS(Records!$M:$M,$A158)</f>
        <v/>
      </c>
    </row>
    <row r="159">
      <c r="A159" t="inlineStr">
        <is>
          <t>C18</t>
        </is>
      </c>
      <c r="B159" t="inlineStr">
        <is>
          <t>Neighbourhood platforms &amp; digital public space (WhatsApp, Nextdoor, RWA groups)</t>
        </is>
      </c>
      <c r="C159">
        <f>COUNTIFS(Records!$M:$M,$A159,Records!$C:$C,"&gt;=2010",Records!$C:$C,"&lt;=2014")</f>
        <v/>
      </c>
      <c r="D159">
        <f>COUNTIFS(Records!$M:$M,$A159,Records!$C:$C,"&gt;=2015",Records!$C:$C,"&lt;=2019")</f>
        <v/>
      </c>
      <c r="E159">
        <f>COUNTIFS(Records!$M:$M,$A159,Records!$C:$C,"&gt;=2020",Records!$C:$C,"&lt;=2026")</f>
        <v/>
      </c>
      <c r="F159">
        <f>COUNTIFS(Records!$M:$M,$A159,Records!$C:$C,"&lt;2010")</f>
        <v/>
      </c>
      <c r="G159">
        <f>COUNTIFS(Records!$M:$M,$A159)</f>
        <v/>
      </c>
    </row>
    <row r="160">
      <c r="B160" s="6" t="inlineStr">
        <is>
          <t>All themes</t>
        </is>
      </c>
      <c r="C160" s="6">
        <f>SUM(C112:C159)</f>
        <v/>
      </c>
      <c r="D160" s="6">
        <f>SUM(D112:D159)</f>
        <v/>
      </c>
      <c r="E160" s="6">
        <f>SUM(E112:E159)</f>
        <v/>
      </c>
      <c r="F160" s="6">
        <f>SUM(F112:F159)</f>
        <v/>
      </c>
      <c r="G160" s="6">
        <f>SUM(G112:G159)</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62"/>
  <sheetViews>
    <sheetView workbookViewId="0">
      <selection activeCell="A1" sqref="A1"/>
    </sheetView>
  </sheetViews>
  <sheetFormatPr baseColWidth="8" defaultRowHeight="15"/>
  <cols>
    <col width="8" customWidth="1" min="1" max="1"/>
    <col width="4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5" t="inlineStr">
        <is>
          <t>Growth — OpenAlex-wide hit counts for each theme's combined query (not just this sample)</t>
        </is>
      </c>
    </row>
    <row r="2" ht="75" customHeight="1">
      <c r="A2" s="2" t="inlineStr">
        <is>
          <t>Source: OpenAlex group_works by year, same query and mode as the search (data/raw/counts/). Ratio = mean per year 2020–26 ÷ mean per year 2015–19. Caveats: hit counts include off-topic works (precision of the full result set is well below that of the screened top results), and 2025–26 counts jump in every theme, partly because OpenAlex indexed many more repository/preprint records (e.g. Zenodo) in those years; Stage 3 will normalise by a baseline.</t>
        </is>
      </c>
    </row>
    <row r="4">
      <c r="A4" s="4" t="inlineStr">
        <is>
          <t>Theme</t>
        </is>
      </c>
      <c r="B4" s="4" t="inlineStr">
        <is>
          <t>Name</t>
        </is>
      </c>
      <c r="C4" s="4" t="inlineStr">
        <is>
          <t>2010–14</t>
        </is>
      </c>
      <c r="D4" s="4" t="inlineStr">
        <is>
          <t>2015–19</t>
        </is>
      </c>
      <c r="E4" s="4" t="inlineStr">
        <is>
          <t>2020–26</t>
        </is>
      </c>
      <c r="F4" s="4" t="inlineStr">
        <is>
          <t>Growth ratio (per-year)</t>
        </is>
      </c>
      <c r="G4" s="4" t="inlineStr">
        <is>
          <t>SA 2010–14</t>
        </is>
      </c>
      <c r="H4" s="4" t="inlineStr">
        <is>
          <t>SA 2015–19</t>
        </is>
      </c>
      <c r="I4" s="4" t="inlineStr">
        <is>
          <t>SA 2020–26</t>
        </is>
      </c>
      <c r="J4" s="4" t="inlineStr">
        <is>
          <t>SA growth ratio</t>
        </is>
      </c>
      <c r="K4" s="4" t="inlineStr">
        <is>
          <t>SA share 2020–26</t>
        </is>
      </c>
    </row>
    <row r="5">
      <c r="A5" t="inlineStr">
        <is>
          <t>A1</t>
        </is>
      </c>
      <c r="B5" t="inlineStr">
        <is>
          <t>Urban governance, decentralisation &amp; municipal finance</t>
        </is>
      </c>
      <c r="C5" t="inlineStr">
        <is>
          <t>Stage 2</t>
        </is>
      </c>
    </row>
    <row r="6">
      <c r="A6" t="inlineStr">
        <is>
          <t>A2</t>
        </is>
      </c>
      <c r="B6" t="inlineStr">
        <is>
          <t>Planning, master plans &amp; land-use regulation</t>
        </is>
      </c>
      <c r="C6" t="inlineStr">
        <is>
          <t>Stage 2</t>
        </is>
      </c>
    </row>
    <row r="7">
      <c r="A7" t="inlineStr">
        <is>
          <t>A3</t>
        </is>
      </c>
      <c r="B7" t="inlineStr">
        <is>
          <t>Housing, informality &amp; slums</t>
        </is>
      </c>
      <c r="C7" t="inlineStr">
        <is>
          <t>Stage 2</t>
        </is>
      </c>
    </row>
    <row r="8">
      <c r="A8" t="inlineStr">
        <is>
          <t>A4</t>
        </is>
      </c>
      <c r="B8" t="inlineStr">
        <is>
          <t>Eviction, resettlement &amp; displacement</t>
        </is>
      </c>
      <c r="C8" t="inlineStr">
        <is>
          <t>Stage 2</t>
        </is>
      </c>
    </row>
    <row r="9">
      <c r="A9" t="inlineStr">
        <is>
          <t>A5</t>
        </is>
      </c>
      <c r="B9" t="inlineStr">
        <is>
          <t>Land, peri-urban &amp; extended urbanisation</t>
        </is>
      </c>
      <c r="C9" t="inlineStr">
        <is>
          <t>Stage 2</t>
        </is>
      </c>
    </row>
    <row r="10">
      <c r="A10" t="inlineStr">
        <is>
          <t>A6</t>
        </is>
      </c>
      <c r="B10" t="inlineStr">
        <is>
          <t>Small towns, census towns &amp; secondary cities</t>
        </is>
      </c>
      <c r="C10" t="inlineStr">
        <is>
          <t>Stage 2</t>
        </is>
      </c>
    </row>
    <row r="11">
      <c r="A11" t="inlineStr">
        <is>
          <t>A7</t>
        </is>
      </c>
      <c r="B11" t="inlineStr">
        <is>
          <t>Urban infrastructure (water, sanitation, energy) &amp; infrastructural citizenship</t>
        </is>
      </c>
      <c r="C11" t="inlineStr">
        <is>
          <t>Stage 2</t>
        </is>
      </c>
    </row>
    <row r="12">
      <c r="A12" t="inlineStr">
        <is>
          <t>A8</t>
        </is>
      </c>
      <c r="B12" t="inlineStr">
        <is>
          <t>Mobility &amp; transport (social science)</t>
        </is>
      </c>
      <c r="C12" t="inlineStr">
        <is>
          <t>Stage 2</t>
        </is>
      </c>
    </row>
    <row r="13">
      <c r="A13" t="inlineStr">
        <is>
          <t>A9</t>
        </is>
      </c>
      <c r="B13" t="inlineStr">
        <is>
          <t>Public space, publicness &amp; the street</t>
        </is>
      </c>
      <c r="C13" t="n">
        <v>9692</v>
      </c>
      <c r="D13" t="n">
        <v>16456</v>
      </c>
      <c r="E13" t="n">
        <v>28810</v>
      </c>
      <c r="F13" s="8">
        <f>IFERROR((E13/7)/(D13/5),"")</f>
        <v/>
      </c>
      <c r="G13" t="n">
        <v>234</v>
      </c>
      <c r="H13" t="n">
        <v>465</v>
      </c>
      <c r="I13" t="n">
        <v>1208</v>
      </c>
      <c r="J13" s="8">
        <f>IFERROR((I13/7)/(H13/5),"")</f>
        <v/>
      </c>
      <c r="K13" s="9">
        <f>IFERROR(I13/E13,"")</f>
        <v/>
      </c>
    </row>
    <row r="14">
      <c r="A14" t="inlineStr">
        <is>
          <t>A10</t>
        </is>
      </c>
      <c r="B14" t="inlineStr">
        <is>
          <t>Urban economy, informal work &amp; street vending</t>
        </is>
      </c>
      <c r="C14" t="inlineStr">
        <is>
          <t>Stage 2</t>
        </is>
      </c>
    </row>
    <row r="15">
      <c r="A15" t="inlineStr">
        <is>
          <t>A11</t>
        </is>
      </c>
      <c r="B15" t="inlineStr">
        <is>
          <t>Migration &amp; the city</t>
        </is>
      </c>
      <c r="C15" t="inlineStr">
        <is>
          <t>Stage 2</t>
        </is>
      </c>
    </row>
    <row r="16">
      <c r="A16" t="inlineStr">
        <is>
          <t>A12</t>
        </is>
      </c>
      <c r="B16" t="inlineStr">
        <is>
          <t>Gender, caste, class &amp; the city</t>
        </is>
      </c>
      <c r="C16" t="inlineStr">
        <is>
          <t>Stage 2</t>
        </is>
      </c>
    </row>
    <row r="17">
      <c r="A17" t="inlineStr">
        <is>
          <t>A13</t>
        </is>
      </c>
      <c r="B17" t="inlineStr">
        <is>
          <t>Heritage, mega-events &amp; "world-class" city making</t>
        </is>
      </c>
      <c r="C17" t="inlineStr">
        <is>
          <t>Stage 2</t>
        </is>
      </c>
    </row>
    <row r="18">
      <c r="A18" t="inlineStr">
        <is>
          <t>A14</t>
        </is>
      </c>
      <c r="B18" t="inlineStr">
        <is>
          <t>Urban environment, climate &amp; risk</t>
        </is>
      </c>
      <c r="C18" t="inlineStr">
        <is>
          <t>Stage 2</t>
        </is>
      </c>
    </row>
    <row r="19">
      <c r="A19" t="inlineStr">
        <is>
          <t>A15</t>
        </is>
      </c>
      <c r="B19" t="inlineStr">
        <is>
          <t>Urban &amp; planning theory, Southern urbanism</t>
        </is>
      </c>
      <c r="C19" t="inlineStr">
        <is>
          <t>Stage 2</t>
        </is>
      </c>
    </row>
    <row r="20">
      <c r="A20" t="inlineStr">
        <is>
          <t>A16</t>
        </is>
      </c>
      <c r="B20" t="inlineStr">
        <is>
          <t>Night-time city &amp; urban time</t>
        </is>
      </c>
      <c r="C20" t="inlineStr">
        <is>
          <t>Stage 2</t>
        </is>
      </c>
    </row>
    <row r="21">
      <c r="A21" t="inlineStr">
        <is>
          <t>B1</t>
        </is>
      </c>
      <c r="B21" t="inlineStr">
        <is>
          <t>Platforms &amp; platform capitalism</t>
        </is>
      </c>
      <c r="C21" t="inlineStr">
        <is>
          <t>Stage 2</t>
        </is>
      </c>
    </row>
    <row r="22">
      <c r="A22" t="inlineStr">
        <is>
          <t>B2</t>
        </is>
      </c>
      <c r="B22" t="inlineStr">
        <is>
          <t>Datafication, data justice &amp; data colonialism</t>
        </is>
      </c>
      <c r="C22" t="inlineStr">
        <is>
          <t>Stage 2</t>
        </is>
      </c>
    </row>
    <row r="23">
      <c r="A23" t="inlineStr">
        <is>
          <t>B3</t>
        </is>
      </c>
      <c r="B23" t="inlineStr">
        <is>
          <t>Surveillance studies</t>
        </is>
      </c>
      <c r="C23" t="inlineStr">
        <is>
          <t>Stage 2</t>
        </is>
      </c>
    </row>
    <row r="24">
      <c r="A24" t="inlineStr">
        <is>
          <t>B4</t>
        </is>
      </c>
      <c r="B24" t="inlineStr">
        <is>
          <t>Algorithmic governance &amp; AI in the public sector</t>
        </is>
      </c>
      <c r="C24" t="inlineStr">
        <is>
          <t>Stage 2</t>
        </is>
      </c>
    </row>
    <row r="25">
      <c r="A25" t="inlineStr">
        <is>
          <t>B5</t>
        </is>
      </c>
      <c r="B25" t="inlineStr">
        <is>
          <t>Digital identity &amp; digital public infrastructure (DPI)</t>
        </is>
      </c>
      <c r="C25" t="n">
        <v>689</v>
      </c>
      <c r="D25" t="n">
        <v>1474</v>
      </c>
      <c r="E25" t="n">
        <v>6051</v>
      </c>
      <c r="F25" s="8">
        <f>IFERROR((E25/7)/(D25/5),"")</f>
        <v/>
      </c>
      <c r="G25" t="n">
        <v>140</v>
      </c>
      <c r="H25" t="n">
        <v>427</v>
      </c>
      <c r="I25" t="n">
        <v>2214</v>
      </c>
      <c r="J25" s="8">
        <f>IFERROR((I25/7)/(H25/5),"")</f>
        <v/>
      </c>
      <c r="K25" s="9">
        <f>IFERROR(I25/E25,"")</f>
        <v/>
      </c>
    </row>
    <row r="26">
      <c r="A26" t="inlineStr">
        <is>
          <t>B6</t>
        </is>
      </c>
      <c r="B26" t="inlineStr">
        <is>
          <t>Digital finance &amp; payments</t>
        </is>
      </c>
      <c r="C26" t="inlineStr">
        <is>
          <t>Stage 2</t>
        </is>
      </c>
    </row>
    <row r="27">
      <c r="A27" t="inlineStr">
        <is>
          <t>B7</t>
        </is>
      </c>
      <c r="B27" t="inlineStr">
        <is>
          <t>Digital divides &amp; digital inclusion</t>
        </is>
      </c>
      <c r="C27" t="inlineStr">
        <is>
          <t>Stage 2</t>
        </is>
      </c>
    </row>
    <row r="28">
      <c r="A28" t="inlineStr">
        <is>
          <t>B8</t>
        </is>
      </c>
      <c r="B28" t="inlineStr">
        <is>
          <t>Social media, digital publics &amp; political communication</t>
        </is>
      </c>
      <c r="C28" t="inlineStr">
        <is>
          <t>Stage 2</t>
        </is>
      </c>
    </row>
    <row r="29">
      <c r="A29" t="inlineStr">
        <is>
          <t>B9</t>
        </is>
      </c>
      <c r="B29" t="inlineStr">
        <is>
          <t>Misinformation &amp; extreme speech</t>
        </is>
      </c>
      <c r="C29" t="inlineStr">
        <is>
          <t>Stage 2</t>
        </is>
      </c>
    </row>
    <row r="30">
      <c r="A30" t="inlineStr">
        <is>
          <t>B10</t>
        </is>
      </c>
      <c r="B30" t="inlineStr">
        <is>
          <t>Cybercrime, fraud &amp; cybersecurity (social science)</t>
        </is>
      </c>
      <c r="C30" t="inlineStr">
        <is>
          <t>Stage 2</t>
        </is>
      </c>
    </row>
    <row r="31">
      <c r="A31" t="inlineStr">
        <is>
          <t>B11</t>
        </is>
      </c>
      <c r="B31" t="inlineStr">
        <is>
          <t>Digital labour</t>
        </is>
      </c>
      <c r="C31" t="inlineStr">
        <is>
          <t>Stage 2</t>
        </is>
      </c>
    </row>
    <row r="32">
      <c r="A32" t="inlineStr">
        <is>
          <t>B12</t>
        </is>
      </c>
      <c r="B32" t="inlineStr">
        <is>
          <t>Infrastructure studies &amp; STS of digital systems</t>
        </is>
      </c>
      <c r="C32" t="inlineStr">
        <is>
          <t>Stage 2</t>
        </is>
      </c>
    </row>
    <row r="33">
      <c r="A33" t="inlineStr">
        <is>
          <t>B13</t>
        </is>
      </c>
      <c r="B33" t="inlineStr">
        <is>
          <t>Mobile phones &amp; everyday digital life</t>
        </is>
      </c>
      <c r="C33" t="inlineStr">
        <is>
          <t>Stage 2</t>
        </is>
      </c>
    </row>
    <row r="34">
      <c r="A34" t="inlineStr">
        <is>
          <t>B14</t>
        </is>
      </c>
      <c r="B34" t="inlineStr">
        <is>
          <t>Generative AI &amp; society</t>
        </is>
      </c>
      <c r="C34" t="inlineStr">
        <is>
          <t>Stage 2</t>
        </is>
      </c>
    </row>
    <row r="35">
      <c r="A35" t="inlineStr">
        <is>
          <t>C1</t>
        </is>
      </c>
      <c r="B35" t="inlineStr">
        <is>
          <t>Smart cities &amp; smart urbanism</t>
        </is>
      </c>
      <c r="C35" t="inlineStr">
        <is>
          <t>Stage 2</t>
        </is>
      </c>
    </row>
    <row r="36">
      <c r="A36" t="inlineStr">
        <is>
          <t>C2</t>
        </is>
      </c>
      <c r="B36" t="inlineStr">
        <is>
          <t>Platform urbanism</t>
        </is>
      </c>
      <c r="C36" t="n">
        <v>22</v>
      </c>
      <c r="D36" t="n">
        <v>180</v>
      </c>
      <c r="E36" t="n">
        <v>2056</v>
      </c>
      <c r="F36" s="8">
        <f>IFERROR((E36/7)/(D36/5),"")</f>
        <v/>
      </c>
      <c r="G36" t="n">
        <v>1</v>
      </c>
      <c r="H36" t="n">
        <v>15</v>
      </c>
      <c r="I36" t="n">
        <v>222</v>
      </c>
      <c r="J36" s="8">
        <f>IFERROR((I36/7)/(H36/5),"")</f>
        <v/>
      </c>
      <c r="K36" s="9">
        <f>IFERROR(I36/E36,"")</f>
        <v/>
      </c>
    </row>
    <row r="37">
      <c r="A37" t="inlineStr">
        <is>
          <t>C3</t>
        </is>
      </c>
      <c r="B37" t="inlineStr">
        <is>
          <t>Digital geographies &amp; code/space</t>
        </is>
      </c>
      <c r="C37" t="inlineStr">
        <is>
          <t>Stage 2</t>
        </is>
      </c>
    </row>
    <row r="38">
      <c r="A38" t="inlineStr">
        <is>
          <t>C4</t>
        </is>
      </c>
      <c r="B38" t="inlineStr">
        <is>
          <t>Urban informatics &amp; urban computing</t>
        </is>
      </c>
      <c r="C38" t="inlineStr">
        <is>
          <t>Stage 2</t>
        </is>
      </c>
    </row>
    <row r="39">
      <c r="A39" t="inlineStr">
        <is>
          <t>C5</t>
        </is>
      </c>
      <c r="B39" t="inlineStr">
        <is>
          <t>Urban data governance &amp; data justice in cities</t>
        </is>
      </c>
      <c r="C39" t="inlineStr">
        <is>
          <t>Stage 2</t>
        </is>
      </c>
    </row>
    <row r="40">
      <c r="A40" t="inlineStr">
        <is>
          <t>C6</t>
        </is>
      </c>
      <c r="B40" t="inlineStr">
        <is>
          <t>Urban surveillance, policing &amp; biometrics in public space</t>
        </is>
      </c>
      <c r="C40" t="inlineStr">
        <is>
          <t>Stage 2</t>
        </is>
      </c>
    </row>
    <row r="41">
      <c r="A41" t="inlineStr">
        <is>
          <t>C7</t>
        </is>
      </c>
      <c r="B41" t="inlineStr">
        <is>
          <t>Algorithmic &amp; automated urban governance, municipal AI / GenAI</t>
        </is>
      </c>
      <c r="C41" t="inlineStr">
        <is>
          <t>Stage 2</t>
        </is>
      </c>
    </row>
    <row r="42">
      <c r="A42" t="inlineStr">
        <is>
          <t>C8</t>
        </is>
      </c>
      <c r="B42" t="inlineStr">
        <is>
          <t>City-level DPI &amp; urban e-government</t>
        </is>
      </c>
      <c r="C42" t="inlineStr">
        <is>
          <t>Stage 2</t>
        </is>
      </c>
    </row>
    <row r="43">
      <c r="A43" t="inlineStr">
        <is>
          <t>C9</t>
        </is>
      </c>
      <c r="B43" t="inlineStr">
        <is>
          <t>Digital mobility (ride-hailing, MaaS, digital ticketing, transit apps)</t>
        </is>
      </c>
      <c r="C43" t="inlineStr">
        <is>
          <t>Stage 2</t>
        </is>
      </c>
    </row>
    <row r="44">
      <c r="A44" t="inlineStr">
        <is>
          <t>C10</t>
        </is>
      </c>
      <c r="B44" t="inlineStr">
        <is>
          <t>Proptech, housing platforms &amp; short-term rentals</t>
        </is>
      </c>
      <c r="C44" t="inlineStr">
        <is>
          <t>Stage 2</t>
        </is>
      </c>
    </row>
    <row r="45">
      <c r="A45" t="inlineStr">
        <is>
          <t>C11</t>
        </is>
      </c>
      <c r="B45" t="inlineStr">
        <is>
          <t>Digital payments in urban economies (QR, UPI, mobile money)</t>
        </is>
      </c>
      <c r="C45" t="inlineStr">
        <is>
          <t>Stage 2</t>
        </is>
      </c>
    </row>
    <row r="46">
      <c r="A46" t="inlineStr">
        <is>
          <t>C12</t>
        </is>
      </c>
      <c r="B46" t="inlineStr">
        <is>
          <t>Civic tech, e-participation &amp; digital urban publics</t>
        </is>
      </c>
      <c r="C46" t="inlineStr">
        <is>
          <t>Stage 2</t>
        </is>
      </c>
    </row>
    <row r="47">
      <c r="A47" t="inlineStr">
        <is>
          <t>C13</t>
        </is>
      </c>
      <c r="B47" t="inlineStr">
        <is>
          <t>Digital twins, simulation &amp; visual rendering of cities</t>
        </is>
      </c>
      <c r="C47" t="inlineStr">
        <is>
          <t>Stage 2</t>
        </is>
      </c>
    </row>
    <row r="48">
      <c r="A48" t="inlineStr">
        <is>
          <t>C14</t>
        </is>
      </c>
      <c r="B48" t="inlineStr">
        <is>
          <t>Digital informality (informal settlements, vendors &amp; digital systems)</t>
        </is>
      </c>
      <c r="C48" t="inlineStr">
        <is>
          <t>Stage 2</t>
        </is>
      </c>
    </row>
    <row r="49">
      <c r="A49" t="inlineStr">
        <is>
          <t>C15</t>
        </is>
      </c>
      <c r="B49" t="inlineStr">
        <is>
          <t>Gig work in the city (urban and spatial focus)</t>
        </is>
      </c>
      <c r="C49" t="inlineStr">
        <is>
          <t>Stage 2</t>
        </is>
      </c>
    </row>
    <row r="50">
      <c r="A50" t="inlineStr">
        <is>
          <t>C16</t>
        </is>
      </c>
      <c r="B50" t="inlineStr">
        <is>
          <t>Digital heritage, mapping &amp; representation of cities</t>
        </is>
      </c>
      <c r="C50" t="inlineStr">
        <is>
          <t>Stage 2</t>
        </is>
      </c>
    </row>
    <row r="51">
      <c r="A51" t="inlineStr">
        <is>
          <t>C17</t>
        </is>
      </c>
      <c r="B51" t="inlineStr">
        <is>
          <t>Urban cybersecurity &amp; cyber-physical infrastructure</t>
        </is>
      </c>
      <c r="C51" t="inlineStr">
        <is>
          <t>Stage 2</t>
        </is>
      </c>
    </row>
    <row r="52">
      <c r="A52" t="inlineStr">
        <is>
          <t>C18</t>
        </is>
      </c>
      <c r="B52" t="inlineStr">
        <is>
          <t>Neighbourhood platforms &amp; digital public space (WhatsApp, Nextdoor, RWA groups)</t>
        </is>
      </c>
      <c r="C52" t="inlineStr">
        <is>
          <t>Stage 2</t>
        </is>
      </c>
    </row>
    <row r="55">
      <c r="A55" s="6" t="inlineStr">
        <is>
          <t>Per-year counts (pilot themes)</t>
        </is>
      </c>
    </row>
    <row r="56">
      <c r="A56" s="7" t="inlineStr">
        <is>
          <t>Theme</t>
        </is>
      </c>
      <c r="B56" s="7" t="inlineStr">
        <is>
          <t>Scope</t>
        </is>
      </c>
      <c r="C56" s="7" t="n">
        <v>2010</v>
      </c>
      <c r="D56" s="7" t="n">
        <v>2011</v>
      </c>
      <c r="E56" s="7" t="n">
        <v>2012</v>
      </c>
      <c r="F56" s="7" t="n">
        <v>2013</v>
      </c>
      <c r="G56" s="7" t="n">
        <v>2014</v>
      </c>
      <c r="H56" s="7" t="n">
        <v>2015</v>
      </c>
      <c r="I56" s="7" t="n">
        <v>2016</v>
      </c>
      <c r="J56" s="7" t="n">
        <v>2017</v>
      </c>
      <c r="K56" s="7" t="n">
        <v>2018</v>
      </c>
      <c r="L56" s="7" t="n">
        <v>2019</v>
      </c>
      <c r="M56" s="7" t="n">
        <v>2020</v>
      </c>
      <c r="N56" s="7" t="n">
        <v>2021</v>
      </c>
      <c r="O56" s="7" t="n">
        <v>2022</v>
      </c>
      <c r="P56" s="7" t="n">
        <v>2023</v>
      </c>
      <c r="Q56" s="7" t="n">
        <v>2024</v>
      </c>
      <c r="R56" s="7" t="n">
        <v>2025</v>
      </c>
      <c r="S56" s="7" t="n">
        <v>2026</v>
      </c>
    </row>
    <row r="57">
      <c r="A57" t="inlineStr">
        <is>
          <t>A9</t>
        </is>
      </c>
      <c r="B57" t="inlineStr">
        <is>
          <t>global</t>
        </is>
      </c>
      <c r="C57" t="n">
        <v>1454</v>
      </c>
      <c r="D57" t="n">
        <v>1620</v>
      </c>
      <c r="E57" t="n">
        <v>2041</v>
      </c>
      <c r="F57" t="n">
        <v>2228</v>
      </c>
      <c r="G57" t="n">
        <v>2349</v>
      </c>
      <c r="H57" t="n">
        <v>2738</v>
      </c>
      <c r="I57" t="n">
        <v>3045</v>
      </c>
      <c r="J57" t="n">
        <v>3402</v>
      </c>
      <c r="K57" t="n">
        <v>3500</v>
      </c>
      <c r="L57" t="n">
        <v>3771</v>
      </c>
      <c r="M57" t="n">
        <v>4046</v>
      </c>
      <c r="N57" t="n">
        <v>3662</v>
      </c>
      <c r="O57" t="n">
        <v>3312</v>
      </c>
      <c r="P57" t="n">
        <v>3628</v>
      </c>
      <c r="Q57" t="n">
        <v>3984</v>
      </c>
      <c r="R57" t="n">
        <v>5256</v>
      </c>
      <c r="S57" t="n">
        <v>4922</v>
      </c>
    </row>
    <row r="58">
      <c r="A58" t="inlineStr">
        <is>
          <t>A9</t>
        </is>
      </c>
      <c r="B58" t="inlineStr">
        <is>
          <t>south_asia</t>
        </is>
      </c>
      <c r="C58" t="n">
        <v>27</v>
      </c>
      <c r="D58" t="n">
        <v>40</v>
      </c>
      <c r="E58" t="n">
        <v>55</v>
      </c>
      <c r="F58" t="n">
        <v>47</v>
      </c>
      <c r="G58" t="n">
        <v>65</v>
      </c>
      <c r="H58" t="n">
        <v>70</v>
      </c>
      <c r="I58" t="n">
        <v>98</v>
      </c>
      <c r="J58" t="n">
        <v>89</v>
      </c>
      <c r="K58" t="n">
        <v>92</v>
      </c>
      <c r="L58" t="n">
        <v>116</v>
      </c>
      <c r="M58" t="n">
        <v>118</v>
      </c>
      <c r="N58" t="n">
        <v>128</v>
      </c>
      <c r="O58" t="n">
        <v>129</v>
      </c>
      <c r="P58" t="n">
        <v>183</v>
      </c>
      <c r="Q58" t="n">
        <v>160</v>
      </c>
      <c r="R58" t="n">
        <v>259</v>
      </c>
      <c r="S58" t="n">
        <v>231</v>
      </c>
    </row>
    <row r="59">
      <c r="A59" t="inlineStr">
        <is>
          <t>B5</t>
        </is>
      </c>
      <c r="B59" t="inlineStr">
        <is>
          <t>global</t>
        </is>
      </c>
      <c r="C59" t="n">
        <v>125</v>
      </c>
      <c r="D59" t="n">
        <v>141</v>
      </c>
      <c r="E59" t="n">
        <v>128</v>
      </c>
      <c r="F59" t="n">
        <v>154</v>
      </c>
      <c r="G59" t="n">
        <v>141</v>
      </c>
      <c r="H59" t="n">
        <v>215</v>
      </c>
      <c r="I59" t="n">
        <v>212</v>
      </c>
      <c r="J59" t="n">
        <v>253</v>
      </c>
      <c r="K59" t="n">
        <v>369</v>
      </c>
      <c r="L59" t="n">
        <v>425</v>
      </c>
      <c r="M59" t="n">
        <v>373</v>
      </c>
      <c r="N59" t="n">
        <v>407</v>
      </c>
      <c r="O59" t="n">
        <v>401</v>
      </c>
      <c r="P59" t="n">
        <v>445</v>
      </c>
      <c r="Q59" t="n">
        <v>630</v>
      </c>
      <c r="R59" t="n">
        <v>1302</v>
      </c>
      <c r="S59" t="n">
        <v>2493</v>
      </c>
    </row>
    <row r="60">
      <c r="A60" t="inlineStr">
        <is>
          <t>B5</t>
        </is>
      </c>
      <c r="B60" t="inlineStr">
        <is>
          <t>south_asia</t>
        </is>
      </c>
      <c r="C60" t="n">
        <v>23</v>
      </c>
      <c r="D60" t="n">
        <v>24</v>
      </c>
      <c r="E60" t="n">
        <v>24</v>
      </c>
      <c r="F60" t="n">
        <v>29</v>
      </c>
      <c r="G60" t="n">
        <v>40</v>
      </c>
      <c r="H60" t="n">
        <v>55</v>
      </c>
      <c r="I60" t="n">
        <v>41</v>
      </c>
      <c r="J60" t="n">
        <v>83</v>
      </c>
      <c r="K60" t="n">
        <v>125</v>
      </c>
      <c r="L60" t="n">
        <v>123</v>
      </c>
      <c r="M60" t="n">
        <v>118</v>
      </c>
      <c r="N60" t="n">
        <v>128</v>
      </c>
      <c r="O60" t="n">
        <v>98</v>
      </c>
      <c r="P60" t="n">
        <v>117</v>
      </c>
      <c r="Q60" t="n">
        <v>185</v>
      </c>
      <c r="R60" t="n">
        <v>462</v>
      </c>
      <c r="S60" t="n">
        <v>1106</v>
      </c>
    </row>
    <row r="61">
      <c r="A61" t="inlineStr">
        <is>
          <t>C2</t>
        </is>
      </c>
      <c r="B61" t="inlineStr">
        <is>
          <t>global</t>
        </is>
      </c>
      <c r="C61" t="n">
        <v>1</v>
      </c>
      <c r="D61" t="n">
        <v>5</v>
      </c>
      <c r="E61" t="n">
        <v>4</v>
      </c>
      <c r="F61" t="n">
        <v>5</v>
      </c>
      <c r="G61" t="n">
        <v>7</v>
      </c>
      <c r="H61" t="n">
        <v>10</v>
      </c>
      <c r="I61" t="n">
        <v>17</v>
      </c>
      <c r="J61" t="n">
        <v>28</v>
      </c>
      <c r="K61" t="n">
        <v>34</v>
      </c>
      <c r="L61" t="n">
        <v>91</v>
      </c>
      <c r="M61" t="n">
        <v>130</v>
      </c>
      <c r="N61" t="n">
        <v>125</v>
      </c>
      <c r="O61" t="n">
        <v>153</v>
      </c>
      <c r="P61" t="n">
        <v>174</v>
      </c>
      <c r="Q61" t="n">
        <v>202</v>
      </c>
      <c r="R61" t="n">
        <v>584</v>
      </c>
      <c r="S61" t="n">
        <v>688</v>
      </c>
    </row>
    <row r="62">
      <c r="A62" t="inlineStr">
        <is>
          <t>C2</t>
        </is>
      </c>
      <c r="B62" t="inlineStr">
        <is>
          <t>south_asia</t>
        </is>
      </c>
      <c r="C62" t="n">
        <v>0</v>
      </c>
      <c r="D62" t="n">
        <v>0</v>
      </c>
      <c r="E62" t="n">
        <v>0</v>
      </c>
      <c r="F62" t="n">
        <v>0</v>
      </c>
      <c r="G62" t="n">
        <v>1</v>
      </c>
      <c r="H62" t="n">
        <v>3</v>
      </c>
      <c r="I62" t="n">
        <v>2</v>
      </c>
      <c r="J62" t="n">
        <v>4</v>
      </c>
      <c r="K62" t="n">
        <v>2</v>
      </c>
      <c r="L62" t="n">
        <v>4</v>
      </c>
      <c r="M62" t="n">
        <v>7</v>
      </c>
      <c r="N62" t="n">
        <v>5</v>
      </c>
      <c r="O62" t="n">
        <v>5</v>
      </c>
      <c r="P62" t="n">
        <v>18</v>
      </c>
      <c r="Q62" t="n">
        <v>16</v>
      </c>
      <c r="R62" t="n">
        <v>69</v>
      </c>
      <c r="S62" t="n">
        <v>102</v>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cols>
    <col width="6" customWidth="1" min="1" max="1"/>
    <col width="30" customWidth="1" min="2" max="2"/>
    <col width="14" customWidth="1" min="3" max="3"/>
    <col width="14" customWidth="1" min="4" max="4"/>
    <col width="10" customWidth="1" min="5" max="5"/>
    <col width="20" customWidth="1" min="6" max="6"/>
    <col width="22" customWidth="1" min="7" max="7"/>
    <col width="22" customWidth="1" min="8" max="8"/>
    <col width="22" customWidth="1" min="9" max="9"/>
  </cols>
  <sheetData>
    <row r="1">
      <c r="A1" s="5" t="inlineStr">
        <is>
          <t>Emerging terms — Stage 3</t>
        </is>
      </c>
    </row>
    <row r="2">
      <c r="A2" t="inlineStr">
        <is>
          <t>Top 30 keywords/topics whose frequency rose fastest from 2018–21 to 2022–26, with counts and example papers. To be filled in Stage 3.</t>
        </is>
      </c>
    </row>
    <row r="4">
      <c r="A4" s="4" t="inlineStr">
        <is>
          <t>Rank</t>
        </is>
      </c>
      <c r="B4" s="4" t="inlineStr">
        <is>
          <t>Term</t>
        </is>
      </c>
      <c r="C4" s="4" t="inlineStr">
        <is>
          <t>Count 2018–21</t>
        </is>
      </c>
      <c r="D4" s="4" t="inlineStr">
        <is>
          <t>Count 2022–26</t>
        </is>
      </c>
      <c r="E4" s="4" t="inlineStr">
        <is>
          <t>Growth</t>
        </is>
      </c>
      <c r="F4" s="4" t="inlineStr">
        <is>
          <t>Themes</t>
        </is>
      </c>
      <c r="G4" s="4" t="inlineStr">
        <is>
          <t>Example paper 1 (ID)</t>
        </is>
      </c>
      <c r="H4" s="4" t="inlineStr">
        <is>
          <t>Example paper 2 (ID)</t>
        </is>
      </c>
      <c r="I4" s="4" t="inlineStr">
        <is>
          <t>Example paper 3 (ID)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32"/>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60" customWidth="1" min="3" max="3"/>
    <col width="7" customWidth="1" min="4" max="4"/>
    <col width="30" customWidth="1" min="5" max="5"/>
    <col width="28" customWidth="1" min="6" max="6"/>
    <col width="9" customWidth="1" min="7" max="7"/>
    <col width="26" customWidth="1" min="8" max="8"/>
    <col width="16" customWidth="1" min="9" max="9"/>
    <col width="22" customWidth="1" min="10" max="10"/>
    <col width="26" customWidth="1" min="11" max="11"/>
  </cols>
  <sheetData>
    <row r="1" ht="32" customHeight="1">
      <c r="A1" s="2" t="inlineStr">
        <is>
          <t>Records found in a theme's 'landmarks' slice (top cited works for the query, any year) and kept after screening; sorted by theme, then citations.</t>
        </is>
      </c>
    </row>
    <row r="2">
      <c r="A2" s="4" t="inlineStr">
        <is>
          <t>ID</t>
        </is>
      </c>
      <c r="B2" s="4" t="inlineStr">
        <is>
          <t>Primary theme</t>
        </is>
      </c>
      <c r="C2" s="4" t="inlineStr">
        <is>
          <t>Title</t>
        </is>
      </c>
      <c r="D2" s="4" t="inlineStr">
        <is>
          <t>Year</t>
        </is>
      </c>
      <c r="E2" s="4" t="inlineStr">
        <is>
          <t>Authors</t>
        </is>
      </c>
      <c r="F2" s="4" t="inlineStr">
        <is>
          <t>Venue</t>
        </is>
      </c>
      <c r="G2" s="4" t="inlineStr">
        <is>
          <t>Cited-by count</t>
        </is>
      </c>
      <c r="H2" s="4" t="inlineStr">
        <is>
          <t>DOI</t>
        </is>
      </c>
      <c r="I2" s="4" t="inlineStr">
        <is>
          <t>Region</t>
        </is>
      </c>
      <c r="J2" s="4" t="inlineStr">
        <is>
          <t>Places studied</t>
        </is>
      </c>
      <c r="K2" s="4" t="inlineStr">
        <is>
          <t>Found in</t>
        </is>
      </c>
    </row>
    <row r="3">
      <c r="A3" t="inlineStr">
        <is>
          <t>LM00001</t>
        </is>
      </c>
      <c r="B3" t="inlineStr">
        <is>
          <t>A9</t>
        </is>
      </c>
      <c r="C3" t="inlineStr">
        <is>
          <t>Notes Toward a Performative Theory of Assembly</t>
        </is>
      </c>
      <c r="D3" t="n">
        <v>2015</v>
      </c>
      <c r="E3" t="inlineStr">
        <is>
          <t>Judith Butler</t>
        </is>
      </c>
      <c r="F3" t="inlineStr">
        <is>
          <t>Harvard University Press eBooks</t>
        </is>
      </c>
      <c r="G3" t="n">
        <v>2667</v>
      </c>
      <c r="H3" t="inlineStr">
        <is>
          <t>10.4159/9780674495548</t>
        </is>
      </c>
      <c r="I3" t="inlineStr">
        <is>
          <t>Not place-specific</t>
        </is>
      </c>
      <c r="J3" t="inlineStr"/>
      <c r="K3" t="inlineStr">
        <is>
          <t>A9:landmarks</t>
        </is>
      </c>
    </row>
    <row r="4">
      <c r="A4" t="inlineStr">
        <is>
          <t>LM00002</t>
        </is>
      </c>
      <c r="B4" t="inlineStr">
        <is>
          <t>A9</t>
        </is>
      </c>
      <c r="C4" t="inlineStr">
        <is>
          <t>Systematic Social Observation of Public Spaces: A New Look at Disorder in Urban Neighborhoods</t>
        </is>
      </c>
      <c r="D4" t="n">
        <v>1999</v>
      </c>
      <c r="E4" t="inlineStr">
        <is>
          <t>Robert J. Sampson; Stephen W. Raudenbush</t>
        </is>
      </c>
      <c r="F4" t="inlineStr">
        <is>
          <t>American Journal of Sociology</t>
        </is>
      </c>
      <c r="G4" t="n">
        <v>2500</v>
      </c>
      <c r="H4" t="inlineStr">
        <is>
          <t>10.1086/210356</t>
        </is>
      </c>
      <c r="I4" t="inlineStr">
        <is>
          <t>Global North</t>
        </is>
      </c>
      <c r="J4" t="inlineStr">
        <is>
          <t>United States</t>
        </is>
      </c>
      <c r="K4" t="inlineStr">
        <is>
          <t>A9:landmarks</t>
        </is>
      </c>
    </row>
    <row r="5">
      <c r="A5" t="inlineStr">
        <is>
          <t>LM00003</t>
        </is>
      </c>
      <c r="B5" t="inlineStr">
        <is>
          <t>A9</t>
        </is>
      </c>
      <c r="C5" t="inlineStr">
        <is>
          <t>Sex in Public</t>
        </is>
      </c>
      <c r="D5" t="n">
        <v>1998</v>
      </c>
      <c r="E5" t="inlineStr">
        <is>
          <t>Lauren Berlant; Michael Warner</t>
        </is>
      </c>
      <c r="F5" t="inlineStr">
        <is>
          <t>Critical Inquiry</t>
        </is>
      </c>
      <c r="G5" t="n">
        <v>2012</v>
      </c>
      <c r="H5" t="inlineStr">
        <is>
          <t>10.1086/448884</t>
        </is>
      </c>
      <c r="I5" t="inlineStr">
        <is>
          <t>Not place-specific</t>
        </is>
      </c>
      <c r="J5" t="inlineStr"/>
      <c r="K5" t="inlineStr">
        <is>
          <t>A9:landmarks</t>
        </is>
      </c>
    </row>
    <row r="6">
      <c r="A6" t="inlineStr">
        <is>
          <t>LM00004</t>
        </is>
      </c>
      <c r="B6" t="inlineStr">
        <is>
          <t>A9</t>
        </is>
      </c>
      <c r="C6" t="inlineStr">
        <is>
          <t>The social life of small urban spaces</t>
        </is>
      </c>
      <c r="D6" t="n">
        <v>1980</v>
      </c>
      <c r="E6" t="inlineStr">
        <is>
          <t>William H. Whyte</t>
        </is>
      </c>
      <c r="F6" t="inlineStr">
        <is>
          <t>Medical Entomology and Zoology</t>
        </is>
      </c>
      <c r="G6" t="n">
        <v>1947</v>
      </c>
      <c r="H6" t="inlineStr"/>
      <c r="I6" t="inlineStr">
        <is>
          <t>Not place-specific</t>
        </is>
      </c>
      <c r="J6" t="inlineStr"/>
      <c r="K6" t="inlineStr">
        <is>
          <t>A9:landmarks</t>
        </is>
      </c>
    </row>
    <row r="7">
      <c r="A7" t="inlineStr">
        <is>
          <t>LM00005</t>
        </is>
      </c>
      <c r="B7" t="inlineStr">
        <is>
          <t>A9</t>
        </is>
      </c>
      <c r="C7" t="inlineStr">
        <is>
          <t>Making a city: Urbanity, vitality and urban design</t>
        </is>
      </c>
      <c r="D7" t="n">
        <v>1998</v>
      </c>
      <c r="E7" t="inlineStr">
        <is>
          <t>John Montgomery</t>
        </is>
      </c>
      <c r="F7" t="inlineStr">
        <is>
          <t>Journal of Urban Design</t>
        </is>
      </c>
      <c r="G7" t="n">
        <v>1291</v>
      </c>
      <c r="H7" t="inlineStr">
        <is>
          <t>10.1080/13574809808724418</t>
        </is>
      </c>
      <c r="I7" t="inlineStr">
        <is>
          <t>Global North</t>
        </is>
      </c>
      <c r="J7" t="inlineStr">
        <is>
          <t>European; United Kingdom</t>
        </is>
      </c>
      <c r="K7" t="inlineStr">
        <is>
          <t>A9:landmarks</t>
        </is>
      </c>
    </row>
    <row r="8">
      <c r="A8" t="inlineStr">
        <is>
          <t>LM00006</t>
        </is>
      </c>
      <c r="B8" t="inlineStr">
        <is>
          <t>A9</t>
        </is>
      </c>
      <c r="C8" t="inlineStr">
        <is>
          <t>Life between buildings: Using public space</t>
        </is>
      </c>
      <c r="D8" t="n">
        <v>1980</v>
      </c>
      <c r="E8" t="inlineStr">
        <is>
          <t>Jan Gehl</t>
        </is>
      </c>
      <c r="F8" t="inlineStr"/>
      <c r="G8" t="n">
        <v>1152</v>
      </c>
      <c r="H8" t="inlineStr"/>
      <c r="I8" t="inlineStr">
        <is>
          <t>Global North</t>
        </is>
      </c>
      <c r="J8" t="inlineStr">
        <is>
          <t>Denmark</t>
        </is>
      </c>
      <c r="K8" t="inlineStr">
        <is>
          <t>A9:landmarks</t>
        </is>
      </c>
    </row>
    <row r="9">
      <c r="A9" t="inlineStr">
        <is>
          <t>LM00007</t>
        </is>
      </c>
      <c r="B9" t="inlineStr">
        <is>
          <t>A9</t>
        </is>
      </c>
      <c r="C9" t="inlineStr">
        <is>
          <t>Variations on a Theme Park: The New American City and the End of Public Space</t>
        </is>
      </c>
      <c r="D9" t="n">
        <v>1994</v>
      </c>
      <c r="E9" t="inlineStr">
        <is>
          <t>Teresa P. R. Caldeira; Michael Sorkin</t>
        </is>
      </c>
      <c r="F9" t="inlineStr">
        <is>
          <t>Journal of Architectural Education</t>
        </is>
      </c>
      <c r="G9" t="n">
        <v>903</v>
      </c>
      <c r="H9" t="inlineStr">
        <is>
          <t>10.2307/1425310</t>
        </is>
      </c>
      <c r="I9" t="inlineStr">
        <is>
          <t>Global North</t>
        </is>
      </c>
      <c r="J9" t="inlineStr">
        <is>
          <t>United States</t>
        </is>
      </c>
      <c r="K9" t="inlineStr">
        <is>
          <t>A9:landmarks</t>
        </is>
      </c>
    </row>
    <row r="10">
      <c r="A10" t="inlineStr">
        <is>
          <t>LM00008</t>
        </is>
      </c>
      <c r="B10" t="inlineStr">
        <is>
          <t>A9</t>
        </is>
      </c>
      <c r="C10" t="inlineStr">
        <is>
          <t>Semiotic Landscapes: Language, Image, Space</t>
        </is>
      </c>
      <c r="D10" t="n">
        <v>2010</v>
      </c>
      <c r="E10" t="inlineStr">
        <is>
          <t>Adam Jaworski; Crispin Thurlow</t>
        </is>
      </c>
      <c r="F10" t="inlineStr"/>
      <c r="G10" t="n">
        <v>894</v>
      </c>
      <c r="H10" t="inlineStr"/>
      <c r="I10" t="inlineStr">
        <is>
          <t>Multi-region</t>
        </is>
      </c>
      <c r="J10" t="inlineStr">
        <is>
          <t>Australia; Dublin; Edinburgh; Hong Kong; Ireland; Israel; Jamaica; Switzerland; Sydney; Tel Aviv; United Kingdom; United States</t>
        </is>
      </c>
      <c r="K10" t="inlineStr">
        <is>
          <t>A9:landmarks</t>
        </is>
      </c>
    </row>
    <row r="11">
      <c r="A11" t="inlineStr">
        <is>
          <t>LM00009</t>
        </is>
      </c>
      <c r="B11" t="inlineStr">
        <is>
          <t>A9</t>
        </is>
      </c>
      <c r="C11" t="inlineStr">
        <is>
          <t>Urban planning and quality of life: A review of pathways linking the built environment to subjective well-being</t>
        </is>
      </c>
      <c r="D11" t="n">
        <v>2021</v>
      </c>
      <c r="E11" t="inlineStr">
        <is>
          <t>Kostas Mouratidis</t>
        </is>
      </c>
      <c r="F11" t="inlineStr">
        <is>
          <t>Cities</t>
        </is>
      </c>
      <c r="G11" t="n">
        <v>886</v>
      </c>
      <c r="H11" t="inlineStr">
        <is>
          <t>10.1016/j.cities.2021.103229</t>
        </is>
      </c>
      <c r="I11" t="inlineStr">
        <is>
          <t>Not place-specific</t>
        </is>
      </c>
      <c r="J11" t="inlineStr"/>
      <c r="K11" t="inlineStr">
        <is>
          <t>A9:landmarks</t>
        </is>
      </c>
    </row>
    <row r="12">
      <c r="A12" t="inlineStr">
        <is>
          <t>LM00010</t>
        </is>
      </c>
      <c r="B12" t="inlineStr">
        <is>
          <t>A9</t>
        </is>
      </c>
      <c r="C12" t="inlineStr">
        <is>
          <t>Linguistic Landscape as Symbolic Construction of the Public Space: The Case of Israel</t>
        </is>
      </c>
      <c r="D12" t="n">
        <v>2006</v>
      </c>
      <c r="E12" t="inlineStr">
        <is>
          <t>Eliezer Ben‐Rafael; Elana Shohamy; Muhammad Hasan Amara; Nira Trumper-Hecht</t>
        </is>
      </c>
      <c r="F12" t="inlineStr">
        <is>
          <t>International Journal of Multilingualism</t>
        </is>
      </c>
      <c r="G12" t="n">
        <v>882</v>
      </c>
      <c r="H12" t="inlineStr">
        <is>
          <t>10.1080/14790710608668383</t>
        </is>
      </c>
      <c r="I12" t="inlineStr">
        <is>
          <t>Middle East</t>
        </is>
      </c>
      <c r="J12" t="inlineStr">
        <is>
          <t>Israel; Jerusalem; Palestine</t>
        </is>
      </c>
      <c r="K12" t="inlineStr">
        <is>
          <t>A9:landmarks</t>
        </is>
      </c>
    </row>
    <row r="13">
      <c r="A13" t="inlineStr">
        <is>
          <t>LM00011</t>
        </is>
      </c>
      <c r="B13" t="inlineStr">
        <is>
          <t>A9</t>
        </is>
      </c>
      <c r="C13" t="inlineStr">
        <is>
          <t>City of Walls: Crime, Segregation, and Citizenship in São Paulo</t>
        </is>
      </c>
      <c r="D13" t="n">
        <v>2000</v>
      </c>
      <c r="E13" t="inlineStr">
        <is>
          <t>Teresa Pires do Rio Caldeira</t>
        </is>
      </c>
      <c r="F13" t="inlineStr">
        <is>
          <t>Medical Entomology and Zoology</t>
        </is>
      </c>
      <c r="G13" t="n">
        <v>846</v>
      </c>
      <c r="H13" t="inlineStr"/>
      <c r="I13" t="inlineStr">
        <is>
          <t>Multi-region</t>
        </is>
      </c>
      <c r="J13" t="inlineStr">
        <is>
          <t>Brazil; Los Angeles; Sao Paulo; São Paulo</t>
        </is>
      </c>
      <c r="K13" t="inlineStr">
        <is>
          <t>A9:landmarks</t>
        </is>
      </c>
    </row>
    <row r="14">
      <c r="A14" t="inlineStr">
        <is>
          <t>LM00012</t>
        </is>
      </c>
      <c r="B14" t="inlineStr">
        <is>
          <t>A9</t>
        </is>
      </c>
      <c r="C14" t="inlineStr">
        <is>
          <t>The Annihilation of Space by Law: The Roots and Implications of Anti‐Homeless Laws in the United States</t>
        </is>
      </c>
      <c r="D14" t="n">
        <v>1997</v>
      </c>
      <c r="E14" t="inlineStr">
        <is>
          <t>Don Mitchell</t>
        </is>
      </c>
      <c r="F14" t="inlineStr">
        <is>
          <t>Antipode</t>
        </is>
      </c>
      <c r="G14" t="n">
        <v>699</v>
      </c>
      <c r="H14" t="inlineStr">
        <is>
          <t>10.1111/1467-8330.00048</t>
        </is>
      </c>
      <c r="I14" t="inlineStr">
        <is>
          <t>Global North</t>
        </is>
      </c>
      <c r="J14" t="inlineStr">
        <is>
          <t>United States</t>
        </is>
      </c>
      <c r="K14" t="inlineStr">
        <is>
          <t>A9:landmarks</t>
        </is>
      </c>
    </row>
    <row r="15">
      <c r="A15" t="inlineStr">
        <is>
          <t>LM00013</t>
        </is>
      </c>
      <c r="B15" t="inlineStr">
        <is>
          <t>A9</t>
        </is>
      </c>
      <c r="C15" t="inlineStr">
        <is>
          <t>Urban open space in the 21st century</t>
        </is>
      </c>
      <c r="D15" t="n">
        <v>2002</v>
      </c>
      <c r="E15" t="inlineStr">
        <is>
          <t>Catharine Ward Thompson</t>
        </is>
      </c>
      <c r="F15" t="inlineStr">
        <is>
          <t>Landscape and Urban Planning</t>
        </is>
      </c>
      <c r="G15" t="n">
        <v>698</v>
      </c>
      <c r="H15" t="inlineStr">
        <is>
          <t>10.1016/s0169-2046(02)00059-2</t>
        </is>
      </c>
      <c r="I15" t="inlineStr">
        <is>
          <t>Not place-specific</t>
        </is>
      </c>
      <c r="J15" t="inlineStr"/>
      <c r="K15" t="inlineStr">
        <is>
          <t>A9:landmarks</t>
        </is>
      </c>
    </row>
    <row r="16">
      <c r="A16" t="inlineStr">
        <is>
          <t>LM00014</t>
        </is>
      </c>
      <c r="B16" t="inlineStr">
        <is>
          <t>A9</t>
        </is>
      </c>
      <c r="C16" t="inlineStr">
        <is>
          <t>Collective culture and urban public space</t>
        </is>
      </c>
      <c r="D16" t="n">
        <v>2008</v>
      </c>
      <c r="E16" t="inlineStr">
        <is>
          <t>Ash Amin</t>
        </is>
      </c>
      <c r="F16" t="inlineStr">
        <is>
          <t>City</t>
        </is>
      </c>
      <c r="G16" t="n">
        <v>688</v>
      </c>
      <c r="H16" t="inlineStr">
        <is>
          <t>10.1080/13604810801933495</t>
        </is>
      </c>
      <c r="I16" t="inlineStr">
        <is>
          <t>Not place-specific</t>
        </is>
      </c>
      <c r="J16" t="inlineStr"/>
      <c r="K16" t="inlineStr">
        <is>
          <t>A9:landmarks</t>
        </is>
      </c>
    </row>
    <row r="17">
      <c r="A17" t="inlineStr">
        <is>
          <t>LM00015</t>
        </is>
      </c>
      <c r="B17" t="inlineStr">
        <is>
          <t>A9</t>
        </is>
      </c>
      <c r="C17" t="inlineStr">
        <is>
          <t>How To Study Public Life</t>
        </is>
      </c>
      <c r="D17" t="n">
        <v>2013</v>
      </c>
      <c r="E17" t="inlineStr">
        <is>
          <t>Jan Gehl; Birgitte Svarre</t>
        </is>
      </c>
      <c r="F17" t="inlineStr">
        <is>
          <t>Island Press/Center for Resource Economics eBooks</t>
        </is>
      </c>
      <c r="G17" t="n">
        <v>659</v>
      </c>
      <c r="H17" t="inlineStr">
        <is>
          <t>10.5822/978-1-61091-525-0</t>
        </is>
      </c>
      <c r="I17" t="inlineStr">
        <is>
          <t>Not place-specific</t>
        </is>
      </c>
      <c r="J17" t="inlineStr"/>
      <c r="K17" t="inlineStr">
        <is>
          <t>A9:landmarks</t>
        </is>
      </c>
    </row>
    <row r="18">
      <c r="A18" t="inlineStr">
        <is>
          <t>LM00016</t>
        </is>
      </c>
      <c r="B18" t="inlineStr">
        <is>
          <t>A9</t>
        </is>
      </c>
      <c r="C18" t="inlineStr">
        <is>
          <t>The impact of COVID-19 on public space: an early review of the emerging questions – design, perceptions and inequities</t>
        </is>
      </c>
      <c r="D18" t="n">
        <v>2020</v>
      </c>
      <c r="E18" t="inlineStr">
        <is>
          <t>Jordi Honey‐Rosés; Isabelle Anguelovski; Vincent Chireh; Carolyn Daher; Cecil Cornelius Konijnendijk; Jill Litt; Vrushti Mawani; Michael Keith McCall; Arturo Orellana; Emilia Oscilowicz et al.</t>
        </is>
      </c>
      <c r="F18" t="inlineStr">
        <is>
          <t>Cities &amp; Health</t>
        </is>
      </c>
      <c r="G18" t="n">
        <v>637</v>
      </c>
      <c r="H18" t="inlineStr">
        <is>
          <t>10.1080/23748834.2020.1780074</t>
        </is>
      </c>
      <c r="I18" t="inlineStr">
        <is>
          <t>Not place-specific</t>
        </is>
      </c>
      <c r="J18" t="inlineStr"/>
      <c r="K18" t="inlineStr">
        <is>
          <t>A9:landmarks</t>
        </is>
      </c>
    </row>
    <row r="19">
      <c r="A19" t="inlineStr">
        <is>
          <t>LM00017</t>
        </is>
      </c>
      <c r="B19" t="inlineStr">
        <is>
          <t>A9</t>
        </is>
      </c>
      <c r="C19" t="inlineStr">
        <is>
          <t>Vulnerability in Resistance</t>
        </is>
      </c>
      <c r="D19" t="n">
        <v>2016</v>
      </c>
      <c r="E19" t="inlineStr">
        <is>
          <t>Butler-Rees, Angharad</t>
        </is>
      </c>
      <c r="F19" t="inlineStr">
        <is>
          <t>Duke University Press eBooks</t>
        </is>
      </c>
      <c r="G19" t="n">
        <v>613</v>
      </c>
      <c r="H19" t="inlineStr">
        <is>
          <t>10.1215/9780822373490</t>
        </is>
      </c>
      <c r="I19" t="inlineStr">
        <is>
          <t>Multi-region</t>
        </is>
      </c>
      <c r="J19" t="inlineStr">
        <is>
          <t>France; Palestine; Turkey</t>
        </is>
      </c>
      <c r="K19" t="inlineStr">
        <is>
          <t>A9:landmarks</t>
        </is>
      </c>
    </row>
    <row r="20">
      <c r="A20" t="inlineStr">
        <is>
          <t>LM00018</t>
        </is>
      </c>
      <c r="B20" t="inlineStr">
        <is>
          <t>A9</t>
        </is>
      </c>
      <c r="C20" t="inlineStr">
        <is>
          <t>It all used to be better? Different generations on continuity and change in urban children's daily use of space</t>
        </is>
      </c>
      <c r="D20" t="n">
        <v>2005</v>
      </c>
      <c r="E20" t="inlineStr">
        <is>
          <t>Lia Karsten</t>
        </is>
      </c>
      <c r="F20" t="inlineStr">
        <is>
          <t>Children s Geographies</t>
        </is>
      </c>
      <c r="G20" t="n">
        <v>550</v>
      </c>
      <c r="H20" t="inlineStr">
        <is>
          <t>10.1080/14733280500352912</t>
        </is>
      </c>
      <c r="I20" t="inlineStr">
        <is>
          <t>Global North</t>
        </is>
      </c>
      <c r="J20" t="inlineStr">
        <is>
          <t>Amsterdam</t>
        </is>
      </c>
      <c r="K20" t="inlineStr">
        <is>
          <t>A9:landmarks</t>
        </is>
      </c>
    </row>
    <row r="21">
      <c r="A21" t="inlineStr">
        <is>
          <t>LM00019</t>
        </is>
      </c>
      <c r="B21" t="inlineStr">
        <is>
          <t>A9</t>
        </is>
      </c>
      <c r="C21" t="inlineStr">
        <is>
          <t>Social infrastructure and the public life of cities: Studying urban sociality and public spaces</t>
        </is>
      </c>
      <c r="D21" t="n">
        <v>2019</v>
      </c>
      <c r="E21" t="inlineStr">
        <is>
          <t>Alan Latham; Jack Layton</t>
        </is>
      </c>
      <c r="F21" t="inlineStr">
        <is>
          <t>Geography Compass</t>
        </is>
      </c>
      <c r="G21" t="n">
        <v>539</v>
      </c>
      <c r="H21" t="inlineStr">
        <is>
          <t>10.1111/gec3.12444</t>
        </is>
      </c>
      <c r="I21" t="inlineStr">
        <is>
          <t>Not place-specific</t>
        </is>
      </c>
      <c r="J21" t="inlineStr"/>
      <c r="K21" t="inlineStr">
        <is>
          <t>A9:landmarks</t>
        </is>
      </c>
    </row>
    <row r="22">
      <c r="A22" t="inlineStr">
        <is>
          <t>LM00020</t>
        </is>
      </c>
      <c r="B22" t="inlineStr">
        <is>
          <t>A9</t>
        </is>
      </c>
      <c r="C22" t="inlineStr">
        <is>
          <t>Where Does Community Grow?</t>
        </is>
      </c>
      <c r="D22" t="n">
        <v>1997</v>
      </c>
      <c r="E22" t="inlineStr">
        <is>
          <t>Rebekah Levine Coley; WILLIAM C. SULLIVAN; Frances E. Kuo</t>
        </is>
      </c>
      <c r="F22" t="inlineStr">
        <is>
          <t>Environment and Behavior</t>
        </is>
      </c>
      <c r="G22" t="n">
        <v>530</v>
      </c>
      <c r="H22" t="inlineStr">
        <is>
          <t>10.1177/001391659702900402</t>
        </is>
      </c>
      <c r="I22" t="inlineStr">
        <is>
          <t>Global North</t>
        </is>
      </c>
      <c r="J22" t="inlineStr">
        <is>
          <t>Chicago</t>
        </is>
      </c>
      <c r="K22" t="inlineStr">
        <is>
          <t>A9:landmarks</t>
        </is>
      </c>
    </row>
    <row r="23">
      <c r="A23" t="inlineStr">
        <is>
          <t>LM00021</t>
        </is>
      </c>
      <c r="B23" t="inlineStr">
        <is>
          <t>A9</t>
        </is>
      </c>
      <c r="C23" t="inlineStr">
        <is>
          <t>Accessibility and usability: Green space preferences, perceptions, and barriers in a rapidly urbanizing city in Latin America</t>
        </is>
      </c>
      <c r="D23" t="n">
        <v>2012</v>
      </c>
      <c r="E23" t="inlineStr">
        <is>
          <t>Heather E. Wright Wendel; Rebecca K. Zarger; James R. Mihelcic</t>
        </is>
      </c>
      <c r="F23" t="inlineStr">
        <is>
          <t>Landscape and Urban Planning</t>
        </is>
      </c>
      <c r="G23" t="n">
        <v>518</v>
      </c>
      <c r="H23" t="inlineStr">
        <is>
          <t>10.1016/j.landurbplan.2012.06.003</t>
        </is>
      </c>
      <c r="I23" t="inlineStr">
        <is>
          <t>Latin America</t>
        </is>
      </c>
      <c r="J23" t="inlineStr">
        <is>
          <t>Latin America</t>
        </is>
      </c>
      <c r="K23" t="inlineStr">
        <is>
          <t>A9:landmarks</t>
        </is>
      </c>
    </row>
    <row r="24">
      <c r="A24" t="inlineStr">
        <is>
          <t>LM00022</t>
        </is>
      </c>
      <c r="B24" t="inlineStr">
        <is>
          <t>A9</t>
        </is>
      </c>
      <c r="C24" t="inlineStr">
        <is>
          <t>Cities within the City: Do‐It‐Yourself Urbanism and the Right to the City</t>
        </is>
      </c>
      <c r="D24" t="n">
        <v>2013</v>
      </c>
      <c r="E24" t="inlineStr">
        <is>
          <t>Kurt Iveson</t>
        </is>
      </c>
      <c r="F24" t="inlineStr">
        <is>
          <t>International Journal of Urban and Regional Research</t>
        </is>
      </c>
      <c r="G24" t="n">
        <v>471</v>
      </c>
      <c r="H24" t="inlineStr">
        <is>
          <t>10.1111/1468-2427.12053</t>
        </is>
      </c>
      <c r="I24" t="inlineStr">
        <is>
          <t>Global North</t>
        </is>
      </c>
      <c r="J24" t="inlineStr">
        <is>
          <t>Madrid; New York; Sydney</t>
        </is>
      </c>
      <c r="K24" t="inlineStr">
        <is>
          <t>A9:landmarks</t>
        </is>
      </c>
    </row>
    <row r="25">
      <c r="A25" t="inlineStr">
        <is>
          <t>LM00023</t>
        </is>
      </c>
      <c r="B25" t="inlineStr">
        <is>
          <t>A9</t>
        </is>
      </c>
      <c r="C25" t="inlineStr">
        <is>
          <t>It's Mine, Don't Touch!</t>
        </is>
      </c>
      <c r="D25" t="n">
        <v>2008</v>
      </c>
      <c r="E25" t="inlineStr">
        <is>
          <t>Peter Peltonen; Esko Kurvinen; Antti Salovaara; Giulio Jacucci; Tommi Ilmonen; John Evans; Antti Oulasvirta; Petri Saarikko</t>
        </is>
      </c>
      <c r="F25" t="inlineStr">
        <is>
          <t>ACM SIGCHI Conference on Human Factors in Computing Systems (CHI)</t>
        </is>
      </c>
      <c r="G25" t="n">
        <v>461</v>
      </c>
      <c r="H25" t="inlineStr">
        <is>
          <t>10.1145/1357054.1357255</t>
        </is>
      </c>
      <c r="I25" t="inlineStr">
        <is>
          <t>Global North</t>
        </is>
      </c>
      <c r="J25" t="inlineStr">
        <is>
          <t>Finland; Helsinki</t>
        </is>
      </c>
      <c r="K25" t="inlineStr">
        <is>
          <t>A9:landmarks</t>
        </is>
      </c>
    </row>
    <row r="26">
      <c r="A26" t="inlineStr">
        <is>
          <t>LM00024</t>
        </is>
      </c>
      <c r="B26" t="inlineStr">
        <is>
          <t>A9</t>
        </is>
      </c>
      <c r="C26" t="inlineStr">
        <is>
          <t>The Public Realm</t>
        </is>
      </c>
      <c r="D26" t="n">
        <v>2017</v>
      </c>
      <c r="E26" t="inlineStr">
        <is>
          <t>Lyn H. Lofland</t>
        </is>
      </c>
      <c r="F26" t="inlineStr">
        <is>
          <t>Routledge eBooks</t>
        </is>
      </c>
      <c r="G26" t="n">
        <v>460</v>
      </c>
      <c r="H26" t="inlineStr">
        <is>
          <t>10.4324/9781315134352</t>
        </is>
      </c>
      <c r="I26" t="inlineStr">
        <is>
          <t>Not place-specific</t>
        </is>
      </c>
      <c r="J26" t="inlineStr"/>
      <c r="K26" t="inlineStr">
        <is>
          <t>A9:landmarks</t>
        </is>
      </c>
    </row>
    <row r="27">
      <c r="A27" t="inlineStr">
        <is>
          <t>LM00025</t>
        </is>
      </c>
      <c r="B27" t="inlineStr">
        <is>
          <t>A9</t>
        </is>
      </c>
      <c r="C27" t="inlineStr">
        <is>
          <t>The Future of Public Space:Beyond Invented Streets and Reinvented Places</t>
        </is>
      </c>
      <c r="D27" t="n">
        <v>2001</v>
      </c>
      <c r="E27" t="inlineStr">
        <is>
          <t>Tridib Banerjee</t>
        </is>
      </c>
      <c r="F27" t="inlineStr">
        <is>
          <t>Journal of the American Planning Association</t>
        </is>
      </c>
      <c r="G27" t="n">
        <v>440</v>
      </c>
      <c r="H27" t="inlineStr">
        <is>
          <t>10.1080/01944360108976352</t>
        </is>
      </c>
      <c r="I27" t="inlineStr">
        <is>
          <t>Global North</t>
        </is>
      </c>
      <c r="J27" t="inlineStr">
        <is>
          <t>New York; United States</t>
        </is>
      </c>
      <c r="K27" t="inlineStr">
        <is>
          <t>A9:landmarks</t>
        </is>
      </c>
    </row>
    <row r="28">
      <c r="A28" t="inlineStr">
        <is>
          <t>LM00026</t>
        </is>
      </c>
      <c r="B28" t="inlineStr">
        <is>
          <t>A9</t>
        </is>
      </c>
      <c r="C28" t="inlineStr">
        <is>
          <t>Children's Independent Spatial Mobility in the Urban Public Realm</t>
        </is>
      </c>
      <c r="D28" t="n">
        <v>2000</v>
      </c>
      <c r="E28" t="inlineStr">
        <is>
          <t>Margaret O’Brien; DEBORAH JONES; DAVID SLOAN; Michael Rustin</t>
        </is>
      </c>
      <c r="F28" t="inlineStr">
        <is>
          <t>Childhood</t>
        </is>
      </c>
      <c r="G28" t="n">
        <v>423</v>
      </c>
      <c r="H28" t="inlineStr">
        <is>
          <t>10.1177/0907568200007003002</t>
        </is>
      </c>
      <c r="I28" t="inlineStr">
        <is>
          <t>Global North</t>
        </is>
      </c>
      <c r="J28" t="inlineStr">
        <is>
          <t>London</t>
        </is>
      </c>
      <c r="K28" t="inlineStr">
        <is>
          <t>A9:landmarks</t>
        </is>
      </c>
    </row>
    <row r="29">
      <c r="A29" t="inlineStr">
        <is>
          <t>LM00027</t>
        </is>
      </c>
      <c r="B29" t="inlineStr">
        <is>
          <t>A9</t>
        </is>
      </c>
      <c r="C29" t="inlineStr">
        <is>
          <t>Loose Space : Possibility and Diversity in Urban Life</t>
        </is>
      </c>
      <c r="D29" t="n">
        <v>2006</v>
      </c>
      <c r="E29" t="inlineStr">
        <is>
          <t>Karen A. Franck; Quentin Stevens</t>
        </is>
      </c>
      <c r="F29" t="inlineStr"/>
      <c r="G29" t="n">
        <v>423</v>
      </c>
      <c r="H29" t="inlineStr"/>
      <c r="I29" t="inlineStr">
        <is>
          <t>Multi-region</t>
        </is>
      </c>
      <c r="J29" t="inlineStr">
        <is>
          <t>Amsterdam; Athens; Bangkok; Berlin; London; Melbourne; New York; Rome; Tel Aviv; United Kingdom</t>
        </is>
      </c>
      <c r="K29" t="inlineStr">
        <is>
          <t>A9:landmarks</t>
        </is>
      </c>
    </row>
    <row r="30">
      <c r="A30" t="inlineStr">
        <is>
          <t>LM00028</t>
        </is>
      </c>
      <c r="B30" t="inlineStr">
        <is>
          <t>A9</t>
        </is>
      </c>
      <c r="C30" t="inlineStr">
        <is>
          <t>Walkable City: How Downtown Can Save America, One Step at a Time</t>
        </is>
      </c>
      <c r="D30" t="n">
        <v>2012</v>
      </c>
      <c r="E30" t="inlineStr">
        <is>
          <t>Jeff Speck</t>
        </is>
      </c>
      <c r="F30" t="inlineStr"/>
      <c r="G30" t="n">
        <v>420</v>
      </c>
      <c r="H30" t="inlineStr"/>
      <c r="I30" t="inlineStr">
        <is>
          <t>Global North</t>
        </is>
      </c>
      <c r="J30" t="inlineStr">
        <is>
          <t>United States</t>
        </is>
      </c>
      <c r="K30" t="inlineStr">
        <is>
          <t>A9:landmarks</t>
        </is>
      </c>
    </row>
    <row r="31">
      <c r="A31" t="inlineStr">
        <is>
          <t>LM00029</t>
        </is>
      </c>
      <c r="B31" t="inlineStr">
        <is>
          <t>A9</t>
        </is>
      </c>
      <c r="C31" t="inlineStr">
        <is>
          <t>Principles for public space design, planning to do better</t>
        </is>
      </c>
      <c r="D31" t="n">
        <v>2018</v>
      </c>
      <c r="E31" t="inlineStr">
        <is>
          <t>Matthew Carmona</t>
        </is>
      </c>
      <c r="F31" t="inlineStr">
        <is>
          <t>URBAN DESIGN International</t>
        </is>
      </c>
      <c r="G31" t="n">
        <v>403</v>
      </c>
      <c r="H31" t="inlineStr">
        <is>
          <t>10.1057/s41289-018-0070-3</t>
        </is>
      </c>
      <c r="I31" t="inlineStr">
        <is>
          <t>Global North</t>
        </is>
      </c>
      <c r="J31" t="inlineStr">
        <is>
          <t>London</t>
        </is>
      </c>
      <c r="K31" t="inlineStr">
        <is>
          <t>A9:landmarks</t>
        </is>
      </c>
    </row>
    <row r="32">
      <c r="A32" t="inlineStr">
        <is>
          <t>LM00030</t>
        </is>
      </c>
      <c r="B32" t="inlineStr">
        <is>
          <t>A9</t>
        </is>
      </c>
      <c r="C32" t="inlineStr">
        <is>
          <t>Insurgent Public Space</t>
        </is>
      </c>
      <c r="D32" t="n">
        <v>2010</v>
      </c>
      <c r="E32" t="inlineStr">
        <is>
          <t>Jeffrey Hou</t>
        </is>
      </c>
      <c r="F32" t="inlineStr">
        <is>
          <t>Routledge eBooks</t>
        </is>
      </c>
      <c r="G32" t="n">
        <v>401</v>
      </c>
      <c r="H32" t="inlineStr">
        <is>
          <t>10.4324/9780203093009</t>
        </is>
      </c>
      <c r="I32" t="inlineStr">
        <is>
          <t>Multi-region</t>
        </is>
      </c>
      <c r="J32" t="inlineStr">
        <is>
          <t>Beijing; Los Angeles; San Francisco; Seattle</t>
        </is>
      </c>
      <c r="K32" t="inlineStr">
        <is>
          <t>A9:landmarks</t>
        </is>
      </c>
    </row>
    <row r="33">
      <c r="A33" t="inlineStr">
        <is>
          <t>LM00031</t>
        </is>
      </c>
      <c r="B33" t="inlineStr">
        <is>
          <t>A9</t>
        </is>
      </c>
      <c r="C33" t="inlineStr">
        <is>
          <t>Cast in Stone: Monuments, Geography, and Nationalism</t>
        </is>
      </c>
      <c r="D33" t="n">
        <v>1995</v>
      </c>
      <c r="E33" t="inlineStr">
        <is>
          <t>Nuala Johnson</t>
        </is>
      </c>
      <c r="F33" t="inlineStr">
        <is>
          <t>Environment and Planning D Society and Space</t>
        </is>
      </c>
      <c r="G33" t="n">
        <v>399</v>
      </c>
      <c r="H33" t="inlineStr">
        <is>
          <t>10.1068/d130051</t>
        </is>
      </c>
      <c r="I33" t="inlineStr">
        <is>
          <t>Not place-specific</t>
        </is>
      </c>
      <c r="J33" t="inlineStr"/>
      <c r="K33" t="inlineStr">
        <is>
          <t>A9:landmarks</t>
        </is>
      </c>
    </row>
    <row r="34">
      <c r="A34" t="inlineStr">
        <is>
          <t>LM00032</t>
        </is>
      </c>
      <c r="B34" t="inlineStr">
        <is>
          <t>A9</t>
        </is>
      </c>
      <c r="C34" t="inlineStr">
        <is>
          <t>Requirements and design space for interactive public displays</t>
        </is>
      </c>
      <c r="D34" t="n">
        <v>2010</v>
      </c>
      <c r="E34" t="inlineStr">
        <is>
          <t>Jörg Müller; Florian Alt; Daniel Michelis; Albrecht Schmidt</t>
        </is>
      </c>
      <c r="F34" t="inlineStr">
        <is>
          <t>ACM International Conference on Multimedia (ACM MM)</t>
        </is>
      </c>
      <c r="G34" t="n">
        <v>399</v>
      </c>
      <c r="H34" t="inlineStr">
        <is>
          <t>10.1145/1873951.1874203</t>
        </is>
      </c>
      <c r="I34" t="inlineStr">
        <is>
          <t>Not place-specific</t>
        </is>
      </c>
      <c r="J34" t="inlineStr"/>
      <c r="K34" t="inlineStr">
        <is>
          <t>A9:landmarks</t>
        </is>
      </c>
    </row>
    <row r="35">
      <c r="A35" t="inlineStr">
        <is>
          <t>LM00033</t>
        </is>
      </c>
      <c r="B35" t="inlineStr">
        <is>
          <t>A9</t>
        </is>
      </c>
      <c r="C35" t="inlineStr">
        <is>
          <t>Domestication by Cappuccino or a Revenge on Urban Space? Control and Empowerment in the Management of Public Spaces</t>
        </is>
      </c>
      <c r="D35" t="n">
        <v>2003</v>
      </c>
      <c r="E35" t="inlineStr">
        <is>
          <t>Rowland Atkinson</t>
        </is>
      </c>
      <c r="F35" t="inlineStr">
        <is>
          <t>Urban Studies</t>
        </is>
      </c>
      <c r="G35" t="n">
        <v>391</v>
      </c>
      <c r="H35" t="inlineStr">
        <is>
          <t>10.1080/0042098032000106627</t>
        </is>
      </c>
      <c r="I35" t="inlineStr">
        <is>
          <t>Global North</t>
        </is>
      </c>
      <c r="J35" t="inlineStr">
        <is>
          <t>United Kingdom</t>
        </is>
      </c>
      <c r="K35" t="inlineStr">
        <is>
          <t>A9:landmarks</t>
        </is>
      </c>
    </row>
    <row r="36">
      <c r="A36" t="inlineStr">
        <is>
          <t>LM00034</t>
        </is>
      </c>
      <c r="B36" t="inlineStr">
        <is>
          <t>A9</t>
        </is>
      </c>
      <c r="C36" t="inlineStr">
        <is>
          <t>CHILDREN SHOULD BE SEEN AND NOT HEARD: THE PRODUCTION AND TRANSGRESSION OF ADULTS' PUBLIC SPACE</t>
        </is>
      </c>
      <c r="D36" t="n">
        <v>1996</v>
      </c>
      <c r="E36" t="inlineStr">
        <is>
          <t>Gill Valentine</t>
        </is>
      </c>
      <c r="F36" t="inlineStr">
        <is>
          <t>Urban Geography</t>
        </is>
      </c>
      <c r="G36" t="n">
        <v>377</v>
      </c>
      <c r="H36" t="inlineStr">
        <is>
          <t>10.2747/0272-3638.17.3.205</t>
        </is>
      </c>
      <c r="I36" t="inlineStr">
        <is>
          <t>Global North</t>
        </is>
      </c>
      <c r="J36" t="inlineStr">
        <is>
          <t>Europe; North America</t>
        </is>
      </c>
      <c r="K36" t="inlineStr">
        <is>
          <t>A9:landmarks</t>
        </is>
      </c>
    </row>
    <row r="37">
      <c r="A37" t="inlineStr">
        <is>
          <t>LM00035</t>
        </is>
      </c>
      <c r="B37" t="inlineStr">
        <is>
          <t>A9</t>
        </is>
      </c>
      <c r="C37" t="inlineStr">
        <is>
          <t>Democracy and the Public Space in Latin America</t>
        </is>
      </c>
      <c r="D37" t="n">
        <v>2009</v>
      </c>
      <c r="E37" t="inlineStr">
        <is>
          <t>Leonardo Avritzer</t>
        </is>
      </c>
      <c r="F37" t="inlineStr">
        <is>
          <t>Princeton University Press eBooks</t>
        </is>
      </c>
      <c r="G37" t="n">
        <v>363</v>
      </c>
      <c r="H37" t="inlineStr">
        <is>
          <t>10.1515/9781400825011</t>
        </is>
      </c>
      <c r="I37" t="inlineStr">
        <is>
          <t>Multi-region</t>
        </is>
      </c>
      <c r="J37" t="inlineStr">
        <is>
          <t>Argentina; Brazil; Europe; European; Latin America; Latin American; Mexico</t>
        </is>
      </c>
      <c r="K37" t="inlineStr">
        <is>
          <t>A9:landmarks</t>
        </is>
      </c>
    </row>
    <row r="38">
      <c r="A38" t="inlineStr">
        <is>
          <t>LM00036</t>
        </is>
      </c>
      <c r="B38" t="inlineStr">
        <is>
          <t>A9</t>
        </is>
      </c>
      <c r="C38" t="inlineStr">
        <is>
          <t>'Bold Walk and Breakings': Women's spatial confidence versus fear of violence</t>
        </is>
      </c>
      <c r="D38" t="n">
        <v>1997</v>
      </c>
      <c r="E38" t="inlineStr">
        <is>
          <t>Hille Koskela</t>
        </is>
      </c>
      <c r="F38" t="inlineStr">
        <is>
          <t>Gender Place &amp; Culture</t>
        </is>
      </c>
      <c r="G38" t="n">
        <v>357</v>
      </c>
      <c r="H38" t="inlineStr">
        <is>
          <t>10.1080/09663699725369</t>
        </is>
      </c>
      <c r="I38" t="inlineStr">
        <is>
          <t>Global North</t>
        </is>
      </c>
      <c r="J38" t="inlineStr">
        <is>
          <t>Finland</t>
        </is>
      </c>
      <c r="K38" t="inlineStr">
        <is>
          <t>A9:landmarks</t>
        </is>
      </c>
    </row>
    <row r="39">
      <c r="A39" t="inlineStr">
        <is>
          <t>LM00037</t>
        </is>
      </c>
      <c r="B39" t="inlineStr">
        <is>
          <t>A9</t>
        </is>
      </c>
      <c r="C39" t="inlineStr">
        <is>
          <t>Situating Legal Consciousness: Experiences and Attitudes of Ordinary Citizens about Law and Street Harassment</t>
        </is>
      </c>
      <c r="D39" t="n">
        <v>2000</v>
      </c>
      <c r="E39" t="inlineStr">
        <is>
          <t>Laura Beth Nielsen</t>
        </is>
      </c>
      <c r="F39" t="inlineStr">
        <is>
          <t>Law &amp; Society Review</t>
        </is>
      </c>
      <c r="G39" t="n">
        <v>350</v>
      </c>
      <c r="H39" t="inlineStr">
        <is>
          <t>10.2307/3115131</t>
        </is>
      </c>
      <c r="I39" t="inlineStr">
        <is>
          <t>Not place-specific</t>
        </is>
      </c>
      <c r="J39" t="inlineStr"/>
      <c r="K39" t="inlineStr">
        <is>
          <t>A9:landmarks</t>
        </is>
      </c>
    </row>
    <row r="40">
      <c r="A40" t="inlineStr">
        <is>
          <t>LM00038</t>
        </is>
      </c>
      <c r="B40" t="inlineStr">
        <is>
          <t>A9</t>
        </is>
      </c>
      <c r="C40" t="inlineStr">
        <is>
          <t>Space, Difference, Everyday Life</t>
        </is>
      </c>
      <c r="D40" t="n">
        <v>2008</v>
      </c>
      <c r="E40" t="inlineStr"/>
      <c r="F40" t="inlineStr">
        <is>
          <t>Routledge eBooks</t>
        </is>
      </c>
      <c r="G40" t="n">
        <v>342</v>
      </c>
      <c r="H40" t="inlineStr">
        <is>
          <t>10.4324/9780203933213</t>
        </is>
      </c>
      <c r="I40" t="inlineStr">
        <is>
          <t>Not place-specific</t>
        </is>
      </c>
      <c r="J40" t="inlineStr"/>
      <c r="K40" t="inlineStr">
        <is>
          <t>A9:landmarks</t>
        </is>
      </c>
    </row>
    <row r="41">
      <c r="A41" t="inlineStr">
        <is>
          <t>LM00039</t>
        </is>
      </c>
      <c r="B41" t="inlineStr">
        <is>
          <t>A9</t>
        </is>
      </c>
      <c r="C41" t="inlineStr">
        <is>
          <t>Publics and the City</t>
        </is>
      </c>
      <c r="D41" t="n">
        <v>2007</v>
      </c>
      <c r="E41" t="inlineStr">
        <is>
          <t>Kurt Iveson</t>
        </is>
      </c>
      <c r="F41" t="inlineStr">
        <is>
          <t>Wiley eBooks</t>
        </is>
      </c>
      <c r="G41" t="n">
        <v>333</v>
      </c>
      <c r="H41" t="inlineStr">
        <is>
          <t>10.1002/9780470761748</t>
        </is>
      </c>
      <c r="I41" t="inlineStr">
        <is>
          <t>Global North</t>
        </is>
      </c>
      <c r="J41" t="inlineStr">
        <is>
          <t>Melbourne; Sydney</t>
        </is>
      </c>
      <c r="K41" t="inlineStr">
        <is>
          <t>A9:landmarks</t>
        </is>
      </c>
    </row>
    <row r="42">
      <c r="A42" t="inlineStr">
        <is>
          <t>LM00040</t>
        </is>
      </c>
      <c r="B42" t="inlineStr">
        <is>
          <t>A9</t>
        </is>
      </c>
      <c r="C42" t="inlineStr">
        <is>
          <t>On the Plaza</t>
        </is>
      </c>
      <c r="D42" t="n">
        <v>2000</v>
      </c>
      <c r="E42" t="inlineStr">
        <is>
          <t>Setha Low</t>
        </is>
      </c>
      <c r="F42" t="inlineStr">
        <is>
          <t>University of Texas Press eBooks</t>
        </is>
      </c>
      <c r="G42" t="n">
        <v>333</v>
      </c>
      <c r="H42" t="inlineStr">
        <is>
          <t>10.7560/747135</t>
        </is>
      </c>
      <c r="I42" t="inlineStr">
        <is>
          <t>Multi-region</t>
        </is>
      </c>
      <c r="J42" t="inlineStr">
        <is>
          <t>Costa Rica; Europe; European; Latin American; United States</t>
        </is>
      </c>
      <c r="K42" t="inlineStr">
        <is>
          <t>A9:landmarks</t>
        </is>
      </c>
    </row>
    <row r="43">
      <c r="A43" t="inlineStr">
        <is>
          <t>LM00041</t>
        </is>
      </c>
      <c r="B43" t="inlineStr">
        <is>
          <t>A9</t>
        </is>
      </c>
      <c r="C43" t="inlineStr">
        <is>
          <t>The Place-shaping Continuum: A Theory of Urban Design Process</t>
        </is>
      </c>
      <c r="D43" t="n">
        <v>2013</v>
      </c>
      <c r="E43" t="inlineStr">
        <is>
          <t>Matthew Carmona</t>
        </is>
      </c>
      <c r="F43" t="inlineStr">
        <is>
          <t>Journal of Urban Design</t>
        </is>
      </c>
      <c r="G43" t="n">
        <v>327</v>
      </c>
      <c r="H43" t="inlineStr">
        <is>
          <t>10.1080/13574809.2013.854695</t>
        </is>
      </c>
      <c r="I43" t="inlineStr">
        <is>
          <t>Global North</t>
        </is>
      </c>
      <c r="J43" t="inlineStr">
        <is>
          <t>London</t>
        </is>
      </c>
      <c r="K43" t="inlineStr">
        <is>
          <t>A9:landmarks</t>
        </is>
      </c>
    </row>
    <row r="44">
      <c r="A44" t="inlineStr">
        <is>
          <t>LM00042</t>
        </is>
      </c>
      <c r="B44" t="inlineStr">
        <is>
          <t>A9</t>
        </is>
      </c>
      <c r="C44" t="inlineStr">
        <is>
          <t>Lively Streets</t>
        </is>
      </c>
      <c r="D44" t="n">
        <v>2007</v>
      </c>
      <c r="E44" t="inlineStr">
        <is>
          <t>Vikas Mehta</t>
        </is>
      </c>
      <c r="F44" t="inlineStr">
        <is>
          <t>Journal of Planning Education and Research</t>
        </is>
      </c>
      <c r="G44" t="n">
        <v>324</v>
      </c>
      <c r="H44" t="inlineStr">
        <is>
          <t>10.1177/0739456x07307947</t>
        </is>
      </c>
      <c r="I44" t="inlineStr">
        <is>
          <t>Not place-specific</t>
        </is>
      </c>
      <c r="J44" t="inlineStr"/>
      <c r="K44" t="inlineStr">
        <is>
          <t>A9:landmarks</t>
        </is>
      </c>
    </row>
    <row r="45">
      <c r="A45" t="inlineStr">
        <is>
          <t>LM00131</t>
        </is>
      </c>
      <c r="B45" t="inlineStr">
        <is>
          <t>B5</t>
        </is>
      </c>
      <c r="C45" t="inlineStr">
        <is>
          <t>Surveillance as social sorting : privacy, risk, and digital discrimination</t>
        </is>
      </c>
      <c r="D45" t="n">
        <v>2003</v>
      </c>
      <c r="E45" t="inlineStr">
        <is>
          <t>David Lyon</t>
        </is>
      </c>
      <c r="F45" t="inlineStr"/>
      <c r="G45" t="n">
        <v>875</v>
      </c>
      <c r="H45" t="inlineStr"/>
      <c r="I45" t="inlineStr">
        <is>
          <t>Global North</t>
        </is>
      </c>
      <c r="J45" t="inlineStr">
        <is>
          <t>Canada</t>
        </is>
      </c>
      <c r="K45" t="inlineStr">
        <is>
          <t>B5:landmarks</t>
        </is>
      </c>
    </row>
    <row r="46">
      <c r="A46" t="inlineStr">
        <is>
          <t>LM00132</t>
        </is>
      </c>
      <c r="B46" t="inlineStr">
        <is>
          <t>B5</t>
        </is>
      </c>
      <c r="C46" t="inlineStr">
        <is>
          <t>Documenting individual identity : the development of state practices in the modern world</t>
        </is>
      </c>
      <c r="D46" t="n">
        <v>2001</v>
      </c>
      <c r="E46" t="inlineStr">
        <is>
          <t>Jane Caplan; John C. Torpey</t>
        </is>
      </c>
      <c r="F46" t="inlineStr"/>
      <c r="G46" t="n">
        <v>656</v>
      </c>
      <c r="H46" t="inlineStr"/>
      <c r="I46" t="inlineStr">
        <is>
          <t>Multi-region</t>
        </is>
      </c>
      <c r="J46" t="inlineStr">
        <is>
          <t>Argentina; Europe; France; Germany; Netherlands; Russia; Rwanda; United Kingdom</t>
        </is>
      </c>
      <c r="K46" t="inlineStr">
        <is>
          <t>B5:landmarks</t>
        </is>
      </c>
    </row>
    <row r="47">
      <c r="A47" t="inlineStr">
        <is>
          <t>LM00133</t>
        </is>
      </c>
      <c r="B47" t="inlineStr">
        <is>
          <t>B5</t>
        </is>
      </c>
      <c r="C47" t="inlineStr">
        <is>
          <t>Beyond Fear: Thinking Sensibly About Security in an Uncertain World</t>
        </is>
      </c>
      <c r="D47" t="n">
        <v>2003</v>
      </c>
      <c r="E47" t="inlineStr">
        <is>
          <t>Bruce Schneier</t>
        </is>
      </c>
      <c r="F47" t="inlineStr">
        <is>
          <t>CERN Document Server (European Organization for Nuclear Research)</t>
        </is>
      </c>
      <c r="G47" t="n">
        <v>372</v>
      </c>
      <c r="H47" t="inlineStr">
        <is>
          <t>10.1007/b97547</t>
        </is>
      </c>
      <c r="I47" t="inlineStr">
        <is>
          <t>Not place-specific</t>
        </is>
      </c>
      <c r="J47" t="inlineStr"/>
      <c r="K47" t="inlineStr">
        <is>
          <t>B5:landmarks</t>
        </is>
      </c>
    </row>
    <row r="48">
      <c r="A48" t="inlineStr">
        <is>
          <t>LM00134</t>
        </is>
      </c>
      <c r="B48" t="inlineStr">
        <is>
          <t>B5</t>
        </is>
      </c>
      <c r="C48" t="inlineStr">
        <is>
          <t>Cartographic Anxiety: Mapping the Body Politic in India</t>
        </is>
      </c>
      <c r="D48" t="n">
        <v>1994</v>
      </c>
      <c r="E48" t="inlineStr">
        <is>
          <t>Sankaran Krishna</t>
        </is>
      </c>
      <c r="F48" t="inlineStr">
        <is>
          <t>Alternatives Global Local Political</t>
        </is>
      </c>
      <c r="G48" t="n">
        <v>337</v>
      </c>
      <c r="H48" t="inlineStr">
        <is>
          <t>10.1177/030437549401900404</t>
        </is>
      </c>
      <c r="I48" t="inlineStr">
        <is>
          <t>South Asia</t>
        </is>
      </c>
      <c r="J48" t="inlineStr">
        <is>
          <t>India</t>
        </is>
      </c>
      <c r="K48" t="inlineStr">
        <is>
          <t>B5:landmarks</t>
        </is>
      </c>
    </row>
    <row r="49">
      <c r="A49" t="inlineStr">
        <is>
          <t>LM00135</t>
        </is>
      </c>
      <c r="B49" t="inlineStr">
        <is>
          <t>B5</t>
        </is>
      </c>
      <c r="C49" t="inlineStr">
        <is>
          <t>Security and Privacy Issues in E-passports</t>
        </is>
      </c>
      <c r="D49" t="n">
        <v>2006</v>
      </c>
      <c r="E49" t="inlineStr">
        <is>
          <t>Ari Juels; D. Molnar; David A. Wagner</t>
        </is>
      </c>
      <c r="F49" t="inlineStr"/>
      <c r="G49" t="n">
        <v>309</v>
      </c>
      <c r="H49" t="inlineStr">
        <is>
          <t>10.1109/securecomm.2005.59</t>
        </is>
      </c>
      <c r="I49" t="inlineStr">
        <is>
          <t>Global North</t>
        </is>
      </c>
      <c r="J49" t="inlineStr">
        <is>
          <t>United States</t>
        </is>
      </c>
      <c r="K49" t="inlineStr">
        <is>
          <t>B5:landmarks</t>
        </is>
      </c>
    </row>
    <row r="50">
      <c r="A50" t="inlineStr">
        <is>
          <t>LM00136</t>
        </is>
      </c>
      <c r="B50" t="inlineStr">
        <is>
          <t>B5</t>
        </is>
      </c>
      <c r="C50" t="inlineStr">
        <is>
          <t>E-residency and blockchain</t>
        </is>
      </c>
      <c r="D50" t="n">
        <v>2017</v>
      </c>
      <c r="E50" t="inlineStr">
        <is>
          <t>Clare Sullivan; Eric Burger</t>
        </is>
      </c>
      <c r="F50" t="inlineStr">
        <is>
          <t>Computer law &amp; security review</t>
        </is>
      </c>
      <c r="G50" t="n">
        <v>271</v>
      </c>
      <c r="H50" t="inlineStr">
        <is>
          <t>10.1016/j.clsr.2017.03.016</t>
        </is>
      </c>
      <c r="I50" t="inlineStr">
        <is>
          <t>Not place-specific</t>
        </is>
      </c>
      <c r="J50" t="inlineStr"/>
      <c r="K50" t="inlineStr">
        <is>
          <t>B5:landmarks</t>
        </is>
      </c>
    </row>
    <row r="51">
      <c r="A51" t="inlineStr">
        <is>
          <t>LM00137</t>
        </is>
      </c>
      <c r="B51" t="inlineStr">
        <is>
          <t>B5</t>
        </is>
      </c>
      <c r="C51" t="inlineStr">
        <is>
          <t>Digital Epidermalization: Race, Identity and Biometrics</t>
        </is>
      </c>
      <c r="D51" t="n">
        <v>2010</v>
      </c>
      <c r="E51" t="inlineStr">
        <is>
          <t>Simone Browne</t>
        </is>
      </c>
      <c r="F51" t="inlineStr">
        <is>
          <t>Critical Sociology</t>
        </is>
      </c>
      <c r="G51" t="n">
        <v>254</v>
      </c>
      <c r="H51" t="inlineStr">
        <is>
          <t>10.1177/0896920509347144</t>
        </is>
      </c>
      <c r="I51" t="inlineStr">
        <is>
          <t>Multi-region</t>
        </is>
      </c>
      <c r="J51" t="inlineStr">
        <is>
          <t>Canada; India</t>
        </is>
      </c>
      <c r="K51" t="inlineStr">
        <is>
          <t>B5:landmarks</t>
        </is>
      </c>
    </row>
    <row r="52">
      <c r="A52" t="inlineStr">
        <is>
          <t>LM00138</t>
        </is>
      </c>
      <c r="B52" t="inlineStr">
        <is>
          <t>B5</t>
        </is>
      </c>
      <c r="C52" t="inlineStr">
        <is>
          <t>‘The body does not lie’: Identity, risk and trust in technoculture</t>
        </is>
      </c>
      <c r="D52" t="n">
        <v>2006</v>
      </c>
      <c r="E52" t="inlineStr">
        <is>
          <t>Katja Franko</t>
        </is>
      </c>
      <c r="F52" t="inlineStr">
        <is>
          <t>Crime Media Culture An International Journal</t>
        </is>
      </c>
      <c r="G52" t="n">
        <v>222</v>
      </c>
      <c r="H52" t="inlineStr">
        <is>
          <t>10.1177/1741659006065401</t>
        </is>
      </c>
      <c r="I52" t="inlineStr">
        <is>
          <t>Not place-specific</t>
        </is>
      </c>
      <c r="J52" t="inlineStr"/>
      <c r="K52" t="inlineStr">
        <is>
          <t>B5:landmarks</t>
        </is>
      </c>
    </row>
    <row r="53">
      <c r="A53" t="inlineStr">
        <is>
          <t>LM00139</t>
        </is>
      </c>
      <c r="B53" t="inlineStr">
        <is>
          <t>B5</t>
        </is>
      </c>
      <c r="C53" t="inlineStr">
        <is>
          <t>(Dis)qualified bodies: securitization, citizenship and ‘identity management’</t>
        </is>
      </c>
      <c r="D53" t="n">
        <v>2004</v>
      </c>
      <c r="E53" t="inlineStr">
        <is>
          <t>Benjamin Müller</t>
        </is>
      </c>
      <c r="F53" t="inlineStr">
        <is>
          <t>Citizenship Studies</t>
        </is>
      </c>
      <c r="G53" t="n">
        <v>197</v>
      </c>
      <c r="H53" t="inlineStr">
        <is>
          <t>10.1080/1362102042000257005</t>
        </is>
      </c>
      <c r="I53" t="inlineStr">
        <is>
          <t>Not place-specific</t>
        </is>
      </c>
      <c r="J53" t="inlineStr"/>
      <c r="K53" t="inlineStr">
        <is>
          <t>B5:landmarks</t>
        </is>
      </c>
    </row>
    <row r="54">
      <c r="A54" t="inlineStr">
        <is>
          <t>LM00140</t>
        </is>
      </c>
      <c r="B54" t="inlineStr">
        <is>
          <t>B5</t>
        </is>
      </c>
      <c r="C54" t="inlineStr">
        <is>
          <t>When Biometrics Fail: Gender, Race, and the Technology of Identity</t>
        </is>
      </c>
      <c r="D54" t="n">
        <v>2011</v>
      </c>
      <c r="E54" t="inlineStr">
        <is>
          <t>Shoshana Amielle Magnet</t>
        </is>
      </c>
      <c r="F54" t="inlineStr">
        <is>
          <t>Project Muse (Johns Hopkins University)</t>
        </is>
      </c>
      <c r="G54" t="n">
        <v>197</v>
      </c>
      <c r="H54" t="inlineStr"/>
      <c r="I54" t="inlineStr">
        <is>
          <t>Not place-specific</t>
        </is>
      </c>
      <c r="J54" t="inlineStr"/>
      <c r="K54" t="inlineStr">
        <is>
          <t>B5:landmarks</t>
        </is>
      </c>
    </row>
    <row r="55">
      <c r="A55" t="inlineStr">
        <is>
          <t>LM00141</t>
        </is>
      </c>
      <c r="B55" t="inlineStr">
        <is>
          <t>B5</t>
        </is>
      </c>
      <c r="C55" t="inlineStr">
        <is>
          <t>The humanitarian intervention debate</t>
        </is>
      </c>
      <c r="D55" t="n">
        <v>2003</v>
      </c>
      <c r="E55" t="inlineStr">
        <is>
          <t>J. L. Holzgrefe</t>
        </is>
      </c>
      <c r="F55" t="inlineStr">
        <is>
          <t>Cambridge University Press eBooks</t>
        </is>
      </c>
      <c r="G55" t="n">
        <v>192</v>
      </c>
      <c r="H55" t="inlineStr">
        <is>
          <t>10.1017/cbo9780511494000.002</t>
        </is>
      </c>
      <c r="I55" t="inlineStr">
        <is>
          <t>Africa</t>
        </is>
      </c>
      <c r="J55" t="inlineStr">
        <is>
          <t>Kigali; Rwanda</t>
        </is>
      </c>
      <c r="K55" t="inlineStr">
        <is>
          <t>B5:landmarks</t>
        </is>
      </c>
    </row>
    <row r="56">
      <c r="A56" t="inlineStr">
        <is>
          <t>LM00142</t>
        </is>
      </c>
      <c r="B56" t="inlineStr">
        <is>
          <t>B5</t>
        </is>
      </c>
      <c r="C56" t="inlineStr">
        <is>
          <t>Global surveillance and policing : borders, security, identity</t>
        </is>
      </c>
      <c r="D56" t="n">
        <v>2005</v>
      </c>
      <c r="E56" t="inlineStr">
        <is>
          <t>Elia T. Zureik; Mark B. Salter</t>
        </is>
      </c>
      <c r="F56" t="inlineStr"/>
      <c r="G56" t="n">
        <v>192</v>
      </c>
      <c r="H56" t="inlineStr"/>
      <c r="I56" t="inlineStr">
        <is>
          <t>Global North</t>
        </is>
      </c>
      <c r="J56" t="inlineStr">
        <is>
          <t>Europe</t>
        </is>
      </c>
      <c r="K56" t="inlineStr">
        <is>
          <t>B5:landmarks</t>
        </is>
      </c>
    </row>
    <row r="57">
      <c r="A57" t="inlineStr">
        <is>
          <t>LM00143</t>
        </is>
      </c>
      <c r="B57" t="inlineStr">
        <is>
          <t>B5</t>
        </is>
      </c>
      <c r="C57" t="inlineStr">
        <is>
          <t>Identification for Development: The Biometrics Revolution</t>
        </is>
      </c>
      <c r="D57" t="n">
        <v>2013</v>
      </c>
      <c r="E57" t="inlineStr">
        <is>
          <t>Alan H. Gelb; Julia Clark</t>
        </is>
      </c>
      <c r="F57" t="inlineStr">
        <is>
          <t>SSRN Electronic Journal</t>
        </is>
      </c>
      <c r="G57" t="n">
        <v>174</v>
      </c>
      <c r="H57" t="inlineStr">
        <is>
          <t>10.2139/ssrn.2226594</t>
        </is>
      </c>
      <c r="I57" t="inlineStr">
        <is>
          <t>Not place-specific</t>
        </is>
      </c>
      <c r="J57" t="inlineStr"/>
      <c r="K57" t="inlineStr">
        <is>
          <t>B5:landmarks</t>
        </is>
      </c>
    </row>
    <row r="58">
      <c r="A58" t="inlineStr">
        <is>
          <t>LM00144</t>
        </is>
      </c>
      <c r="B58" t="inlineStr">
        <is>
          <t>B5</t>
        </is>
      </c>
      <c r="C58" t="inlineStr">
        <is>
          <t>Tangible Information and Citizen Empowerment: Identification Cards and Food Subsidy Programs in Indonesia</t>
        </is>
      </c>
      <c r="D58" t="n">
        <v>2017</v>
      </c>
      <c r="E58" t="inlineStr">
        <is>
          <t>Abhijit Banerjee; Rema Hanna; Jordan Kyle; Benjamin Olken; Sudarno Sumarto</t>
        </is>
      </c>
      <c r="F58" t="inlineStr">
        <is>
          <t>Journal of Political Economy</t>
        </is>
      </c>
      <c r="G58" t="n">
        <v>161</v>
      </c>
      <c r="H58" t="inlineStr">
        <is>
          <t>10.1086/696226</t>
        </is>
      </c>
      <c r="I58" t="inlineStr">
        <is>
          <t>Southeast Asia</t>
        </is>
      </c>
      <c r="J58" t="inlineStr">
        <is>
          <t>Indonesia</t>
        </is>
      </c>
      <c r="K58" t="inlineStr">
        <is>
          <t>B5:landmarks</t>
        </is>
      </c>
    </row>
    <row r="59">
      <c r="A59" t="inlineStr">
        <is>
          <t>LM00145</t>
        </is>
      </c>
      <c r="B59" t="inlineStr">
        <is>
          <t>B5</t>
        </is>
      </c>
      <c r="C59" t="inlineStr">
        <is>
          <t>Aadhaar: Governing with Biometrics</t>
        </is>
      </c>
      <c r="D59" t="n">
        <v>2019</v>
      </c>
      <c r="E59" t="inlineStr">
        <is>
          <t>Ursula Rao; Vijayanka Nair</t>
        </is>
      </c>
      <c r="F59" t="inlineStr">
        <is>
          <t>South Asia Journal of South Asian Studies</t>
        </is>
      </c>
      <c r="G59" t="n">
        <v>156</v>
      </c>
      <c r="H59" t="inlineStr">
        <is>
          <t>10.1080/00856401.2019.1595343</t>
        </is>
      </c>
      <c r="I59" t="inlineStr">
        <is>
          <t>South Asia</t>
        </is>
      </c>
      <c r="J59" t="inlineStr">
        <is>
          <t>India</t>
        </is>
      </c>
      <c r="K59" t="inlineStr">
        <is>
          <t>B5:landmarks</t>
        </is>
      </c>
    </row>
    <row r="60">
      <c r="A60" t="inlineStr">
        <is>
          <t>LM00146</t>
        </is>
      </c>
      <c r="B60" t="inlineStr">
        <is>
          <t>B5</t>
        </is>
      </c>
      <c r="C60" t="inlineStr">
        <is>
          <t>Self-Sovereign Identity in a Globalized World: Credentials-Based Identity Systems as a Driver for Economic Inclusion</t>
        </is>
      </c>
      <c r="D60" t="n">
        <v>2020</v>
      </c>
      <c r="E60" t="inlineStr">
        <is>
          <t>Fennie Wang; Primavera De Filippi</t>
        </is>
      </c>
      <c r="F60" t="inlineStr">
        <is>
          <t>Frontiers in Blockchain</t>
        </is>
      </c>
      <c r="G60" t="n">
        <v>143</v>
      </c>
      <c r="H60" t="inlineStr">
        <is>
          <t>10.3389/fbloc.2019.00028</t>
        </is>
      </c>
      <c r="I60" t="inlineStr">
        <is>
          <t>Multi-region</t>
        </is>
      </c>
      <c r="J60" t="inlineStr">
        <is>
          <t>Jordan; Sierra Leone</t>
        </is>
      </c>
      <c r="K60" t="inlineStr">
        <is>
          <t>B5:landmarks</t>
        </is>
      </c>
    </row>
    <row r="61">
      <c r="A61" t="inlineStr">
        <is>
          <t>LM00147</t>
        </is>
      </c>
      <c r="B61" t="inlineStr">
        <is>
          <t>B5</t>
        </is>
      </c>
      <c r="C61" t="inlineStr">
        <is>
          <t>Autonomy of Migration?</t>
        </is>
      </c>
      <c r="D61" t="n">
        <v>2019</v>
      </c>
      <c r="E61" t="inlineStr">
        <is>
          <t>Stephan Scheel</t>
        </is>
      </c>
      <c r="F61" t="inlineStr">
        <is>
          <t>Routledge eBooks</t>
        </is>
      </c>
      <c r="G61" t="n">
        <v>129</v>
      </c>
      <c r="H61" t="inlineStr">
        <is>
          <t>10.4324/9781315269030</t>
        </is>
      </c>
      <c r="I61" t="inlineStr">
        <is>
          <t>Not place-specific</t>
        </is>
      </c>
      <c r="J61" t="inlineStr"/>
      <c r="K61" t="inlineStr">
        <is>
          <t>B5:landmarks</t>
        </is>
      </c>
    </row>
    <row r="62">
      <c r="A62" t="inlineStr">
        <is>
          <t>LM00148</t>
        </is>
      </c>
      <c r="B62" t="inlineStr">
        <is>
          <t>B5</t>
        </is>
      </c>
      <c r="C62" t="inlineStr">
        <is>
          <t>User acceptance of Malaysian government multipurpose smartcard applications</t>
        </is>
      </c>
      <c r="D62" t="n">
        <v>2009</v>
      </c>
      <c r="E62" t="inlineStr">
        <is>
          <t>W.H. Loo; Paul H.P. Yeow; Siong Choy Chong</t>
        </is>
      </c>
      <c r="F62" t="inlineStr">
        <is>
          <t>Government Information Quarterly</t>
        </is>
      </c>
      <c r="G62" t="n">
        <v>116</v>
      </c>
      <c r="H62" t="inlineStr">
        <is>
          <t>10.1016/j.giq.2008.07.004</t>
        </is>
      </c>
      <c r="I62" t="inlineStr">
        <is>
          <t>Southeast Asia</t>
        </is>
      </c>
      <c r="J62" t="inlineStr">
        <is>
          <t>Malaysia</t>
        </is>
      </c>
      <c r="K62" t="inlineStr">
        <is>
          <t>B5:landmarks</t>
        </is>
      </c>
    </row>
    <row r="63">
      <c r="A63" t="inlineStr">
        <is>
          <t>LM00149</t>
        </is>
      </c>
      <c r="B63" t="inlineStr">
        <is>
          <t>B5</t>
        </is>
      </c>
      <c r="C63" t="inlineStr">
        <is>
          <t>The Rise of Digital Financialisation: The Case of India</t>
        </is>
      </c>
      <c r="D63" t="n">
        <v>2020</v>
      </c>
      <c r="E63" t="inlineStr">
        <is>
          <t>Sudeep Jain; Daniela Gabor</t>
        </is>
      </c>
      <c r="F63" t="inlineStr">
        <is>
          <t>New Political Economy</t>
        </is>
      </c>
      <c r="G63" t="n">
        <v>116</v>
      </c>
      <c r="H63" t="inlineStr">
        <is>
          <t>10.1080/13563467.2019.1708879</t>
        </is>
      </c>
      <c r="I63" t="inlineStr">
        <is>
          <t>South Asia</t>
        </is>
      </c>
      <c r="J63" t="inlineStr">
        <is>
          <t>India</t>
        </is>
      </c>
      <c r="K63" t="inlineStr">
        <is>
          <t>B5:landmarks</t>
        </is>
      </c>
    </row>
    <row r="64">
      <c r="A64" t="inlineStr">
        <is>
          <t>LM00150</t>
        </is>
      </c>
      <c r="B64" t="inlineStr">
        <is>
          <t>B5</t>
        </is>
      </c>
      <c r="C64" t="inlineStr">
        <is>
          <t>Nationality and Citizenship in Revolutionary France</t>
        </is>
      </c>
      <c r="D64" t="n">
        <v>2000</v>
      </c>
      <c r="E64" t="inlineStr">
        <is>
          <t>Michael Rapport</t>
        </is>
      </c>
      <c r="F64" t="inlineStr">
        <is>
          <t>Oxford University Press eBooks</t>
        </is>
      </c>
      <c r="G64" t="n">
        <v>111</v>
      </c>
      <c r="H64" t="inlineStr">
        <is>
          <t>10.1093/acprof:oso/9780198208457.001.0001</t>
        </is>
      </c>
      <c r="I64" t="inlineStr">
        <is>
          <t>Global North</t>
        </is>
      </c>
      <c r="J64" t="inlineStr">
        <is>
          <t>France</t>
        </is>
      </c>
      <c r="K64" t="inlineStr">
        <is>
          <t>B5:landmarks</t>
        </is>
      </c>
    </row>
    <row r="65">
      <c r="A65" t="inlineStr">
        <is>
          <t>LM00151</t>
        </is>
      </c>
      <c r="B65" t="inlineStr">
        <is>
          <t>B5</t>
        </is>
      </c>
      <c r="C65" t="inlineStr">
        <is>
          <t>Fintech for Financial Inclusion: A Framework for Digital Financial Transformation</t>
        </is>
      </c>
      <c r="D65" t="n">
        <v>2018</v>
      </c>
      <c r="E65" t="inlineStr">
        <is>
          <t>Douglas W. Arner; Ross P. Buckley; Dirk Andreas Zetzsche</t>
        </is>
      </c>
      <c r="F65" t="inlineStr">
        <is>
          <t>SSRN Electronic Journal</t>
        </is>
      </c>
      <c r="G65" t="n">
        <v>110</v>
      </c>
      <c r="H65" t="inlineStr">
        <is>
          <t>10.2139/ssrn.3245287</t>
        </is>
      </c>
      <c r="I65" t="inlineStr">
        <is>
          <t>Not place-specific</t>
        </is>
      </c>
      <c r="J65" t="inlineStr"/>
      <c r="K65" t="inlineStr">
        <is>
          <t>B5:landmarks</t>
        </is>
      </c>
    </row>
    <row r="66">
      <c r="A66" t="inlineStr">
        <is>
          <t>LM00152</t>
        </is>
      </c>
      <c r="B66" t="inlineStr">
        <is>
          <t>B5</t>
        </is>
      </c>
      <c r="C66" t="inlineStr">
        <is>
          <t>Identifying Citizens: ID Cards as Surveillance</t>
        </is>
      </c>
      <c r="D66" t="n">
        <v>2009</v>
      </c>
      <c r="E66" t="inlineStr">
        <is>
          <t>David Lyon</t>
        </is>
      </c>
      <c r="F66" t="inlineStr"/>
      <c r="G66" t="n">
        <v>108</v>
      </c>
      <c r="H66" t="inlineStr"/>
      <c r="I66" t="inlineStr">
        <is>
          <t>Not place-specific</t>
        </is>
      </c>
      <c r="J66" t="inlineStr"/>
      <c r="K66" t="inlineStr">
        <is>
          <t>B5:landmarks</t>
        </is>
      </c>
    </row>
    <row r="67">
      <c r="A67" t="inlineStr">
        <is>
          <t>LM00153</t>
        </is>
      </c>
      <c r="B67" t="inlineStr">
        <is>
          <t>B5</t>
        </is>
      </c>
      <c r="C67" t="inlineStr">
        <is>
          <t>Datafying anti-poverty programmes: implications for data justice</t>
        </is>
      </c>
      <c r="D67" t="n">
        <v>2019</v>
      </c>
      <c r="E67" t="inlineStr">
        <is>
          <t>Silvia Masiero; Soumyo Das</t>
        </is>
      </c>
      <c r="F67" t="inlineStr">
        <is>
          <t>Information Communication &amp; Society</t>
        </is>
      </c>
      <c r="G67" t="n">
        <v>101</v>
      </c>
      <c r="H67" t="inlineStr">
        <is>
          <t>10.1080/1369118x.2019.1575448</t>
        </is>
      </c>
      <c r="I67" t="inlineStr">
        <is>
          <t>South Asia</t>
        </is>
      </c>
      <c r="J67" t="inlineStr">
        <is>
          <t>India</t>
        </is>
      </c>
      <c r="K67" t="inlineStr">
        <is>
          <t>B5:landmarks</t>
        </is>
      </c>
    </row>
    <row r="68">
      <c r="A68" t="inlineStr">
        <is>
          <t>LM00154</t>
        </is>
      </c>
      <c r="B68" t="inlineStr">
        <is>
          <t>B5</t>
        </is>
      </c>
      <c r="C68" t="inlineStr">
        <is>
          <t>Municipal ID Cards for Undocumented Immigrants</t>
        </is>
      </c>
      <c r="D68" t="n">
        <v>2014</v>
      </c>
      <c r="E68" t="inlineStr">
        <is>
          <t>Els de Graauw</t>
        </is>
      </c>
      <c r="F68" t="inlineStr">
        <is>
          <t>Politics &amp; Society</t>
        </is>
      </c>
      <c r="G68" t="n">
        <v>100</v>
      </c>
      <c r="H68" t="inlineStr">
        <is>
          <t>10.1177/0032329214543256</t>
        </is>
      </c>
      <c r="I68" t="inlineStr">
        <is>
          <t>Global North</t>
        </is>
      </c>
      <c r="J68" t="inlineStr">
        <is>
          <t>San Francisco</t>
        </is>
      </c>
      <c r="K68" t="inlineStr">
        <is>
          <t>B5:landmarks</t>
        </is>
      </c>
    </row>
    <row r="69">
      <c r="A69" t="inlineStr">
        <is>
          <t>LM00155</t>
        </is>
      </c>
      <c r="B69" t="inlineStr">
        <is>
          <t>B5</t>
        </is>
      </c>
      <c r="C69" t="inlineStr">
        <is>
          <t>The Privacy Advocates</t>
        </is>
      </c>
      <c r="D69" t="n">
        <v>2008</v>
      </c>
      <c r="E69" t="inlineStr">
        <is>
          <t>Colin J. Bennett</t>
        </is>
      </c>
      <c r="F69" t="inlineStr">
        <is>
          <t>The MIT Press eBooks</t>
        </is>
      </c>
      <c r="G69" t="n">
        <v>99</v>
      </c>
      <c r="H69" t="inlineStr">
        <is>
          <t>10.7551/mitpress/7855.001.0001</t>
        </is>
      </c>
      <c r="I69" t="inlineStr">
        <is>
          <t>Not place-specific</t>
        </is>
      </c>
      <c r="J69" t="inlineStr"/>
      <c r="K69" t="inlineStr">
        <is>
          <t>B5:landmarks</t>
        </is>
      </c>
    </row>
    <row r="70">
      <c r="A70" t="inlineStr">
        <is>
          <t>LM00156</t>
        </is>
      </c>
      <c r="B70" t="inlineStr">
        <is>
          <t>B5</t>
        </is>
      </c>
      <c r="C70" t="inlineStr">
        <is>
          <t>The birth of biometric security</t>
        </is>
      </c>
      <c r="D70" t="n">
        <v>2009</v>
      </c>
      <c r="E70" t="inlineStr">
        <is>
          <t>Mark Maguire</t>
        </is>
      </c>
      <c r="F70" t="inlineStr">
        <is>
          <t>Anthropology Today</t>
        </is>
      </c>
      <c r="G70" t="n">
        <v>98</v>
      </c>
      <c r="H70" t="inlineStr">
        <is>
          <t>10.1111/j.1467-8322.2009.00654.x</t>
        </is>
      </c>
      <c r="I70" t="inlineStr">
        <is>
          <t>Not place-specific</t>
        </is>
      </c>
      <c r="J70" t="inlineStr"/>
      <c r="K70" t="inlineStr">
        <is>
          <t>B5:landmarks</t>
        </is>
      </c>
    </row>
    <row r="71">
      <c r="A71" t="inlineStr">
        <is>
          <t>LM00157</t>
        </is>
      </c>
      <c r="B71" t="inlineStr">
        <is>
          <t>B5</t>
        </is>
      </c>
      <c r="C71" t="inlineStr">
        <is>
          <t>Security, Risk and the Biometric State</t>
        </is>
      </c>
      <c r="D71" t="n">
        <v>2010</v>
      </c>
      <c r="E71" t="inlineStr">
        <is>
          <t>Benjamin Müller</t>
        </is>
      </c>
      <c r="F71" t="inlineStr">
        <is>
          <t>Routledge eBooks</t>
        </is>
      </c>
      <c r="G71" t="n">
        <v>97</v>
      </c>
      <c r="H71" t="inlineStr">
        <is>
          <t>10.4324/9780203858042</t>
        </is>
      </c>
      <c r="I71" t="inlineStr">
        <is>
          <t>Global North</t>
        </is>
      </c>
      <c r="J71" t="inlineStr">
        <is>
          <t>Canada; Ireland</t>
        </is>
      </c>
      <c r="K71" t="inlineStr">
        <is>
          <t>B5:landmarks</t>
        </is>
      </c>
    </row>
    <row r="72">
      <c r="A72" t="inlineStr">
        <is>
          <t>LM00158</t>
        </is>
      </c>
      <c r="B72" t="inlineStr">
        <is>
          <t>B5</t>
        </is>
      </c>
      <c r="C72" t="inlineStr">
        <is>
          <t>Give Me a Database and I Will Raise the Nation-State</t>
        </is>
      </c>
      <c r="D72" t="n">
        <v>2019</v>
      </c>
      <c r="E72" t="inlineStr">
        <is>
          <t>Ranjit Singh</t>
        </is>
      </c>
      <c r="F72" t="inlineStr">
        <is>
          <t>South Asia Journal of South Asian Studies</t>
        </is>
      </c>
      <c r="G72" t="n">
        <v>94</v>
      </c>
      <c r="H72" t="inlineStr">
        <is>
          <t>10.1080/00856401.2019.1602810</t>
        </is>
      </c>
      <c r="I72" t="inlineStr">
        <is>
          <t>South Asia</t>
        </is>
      </c>
      <c r="J72" t="inlineStr">
        <is>
          <t>India</t>
        </is>
      </c>
      <c r="K72" t="inlineStr">
        <is>
          <t>B5:landmarks</t>
        </is>
      </c>
    </row>
    <row r="73">
      <c r="A73" t="inlineStr">
        <is>
          <t>LM00159</t>
        </is>
      </c>
      <c r="B73" t="inlineStr">
        <is>
          <t>B5</t>
        </is>
      </c>
      <c r="C73" t="inlineStr">
        <is>
          <t>Realizing digital identity in government: Prioritizing design and implementation objectives for Aadhaar in India</t>
        </is>
      </c>
      <c r="D73" t="n">
        <v>2019</v>
      </c>
      <c r="E73" t="inlineStr">
        <is>
          <t>Umar Bashir Mir; Arpan Kumar Kar; Yogesh Kumar Dwivedi; M.P. Gupta; R.S. Sharma</t>
        </is>
      </c>
      <c r="F73" t="inlineStr">
        <is>
          <t>Government Information Quarterly</t>
        </is>
      </c>
      <c r="G73" t="n">
        <v>94</v>
      </c>
      <c r="H73" t="inlineStr">
        <is>
          <t>10.1016/j.giq.2019.101442</t>
        </is>
      </c>
      <c r="I73" t="inlineStr">
        <is>
          <t>South Asia</t>
        </is>
      </c>
      <c r="J73" t="inlineStr">
        <is>
          <t>India</t>
        </is>
      </c>
      <c r="K73" t="inlineStr">
        <is>
          <t>B5:india; B5:landmarks</t>
        </is>
      </c>
    </row>
    <row r="74">
      <c r="A74" t="inlineStr">
        <is>
          <t>LM00160</t>
        </is>
      </c>
      <c r="B74" t="inlineStr">
        <is>
          <t>B5</t>
        </is>
      </c>
      <c r="C74" t="inlineStr">
        <is>
          <t>The Identity Challenge in Finance: From Analogue Identity to Digitized Identification to Digital KYC Utilities</t>
        </is>
      </c>
      <c r="D74" t="n">
        <v>2019</v>
      </c>
      <c r="E74" t="inlineStr">
        <is>
          <t>Douglas W. Arner; Dirk Andreas Zetzsche; Ross P. Buckley; Janos Nathan Barberis</t>
        </is>
      </c>
      <c r="F74" t="inlineStr">
        <is>
          <t>European Business Organization Law Review</t>
        </is>
      </c>
      <c r="G74" t="n">
        <v>93</v>
      </c>
      <c r="H74" t="inlineStr">
        <is>
          <t>10.1007/s40804-019-00135-1</t>
        </is>
      </c>
      <c r="I74" t="inlineStr">
        <is>
          <t>Not place-specific</t>
        </is>
      </c>
      <c r="J74" t="inlineStr"/>
      <c r="K74" t="inlineStr">
        <is>
          <t>B5:landmarks</t>
        </is>
      </c>
    </row>
    <row r="75">
      <c r="A75" t="inlineStr">
        <is>
          <t>LM00161</t>
        </is>
      </c>
      <c r="B75" t="inlineStr">
        <is>
          <t>B5</t>
        </is>
      </c>
      <c r="C75" t="inlineStr">
        <is>
          <t>The Ayushman Bharat Digital Mission (ABDM): making of India’s Digital Health Story</t>
        </is>
      </c>
      <c r="D75" t="n">
        <v>2023</v>
      </c>
      <c r="E75" t="inlineStr">
        <is>
          <t>R. S. Sharma; Aishwarya Rohatgi; Sandeep K Jain; Dilip Singh</t>
        </is>
      </c>
      <c r="F75" t="inlineStr">
        <is>
          <t>CSI Transactions on ICT</t>
        </is>
      </c>
      <c r="G75" t="n">
        <v>93</v>
      </c>
      <c r="H75" t="inlineStr">
        <is>
          <t>10.1007/s40012-023-00375-0</t>
        </is>
      </c>
      <c r="I75" t="inlineStr">
        <is>
          <t>South Asia</t>
        </is>
      </c>
      <c r="J75" t="inlineStr">
        <is>
          <t>India</t>
        </is>
      </c>
      <c r="K75" t="inlineStr">
        <is>
          <t>B5:landmarks</t>
        </is>
      </c>
    </row>
    <row r="76">
      <c r="A76" t="inlineStr">
        <is>
          <t>LM00162</t>
        </is>
      </c>
      <c r="B76" t="inlineStr">
        <is>
          <t>B5</t>
        </is>
      </c>
      <c r="C76" t="inlineStr">
        <is>
          <t>Data protection regulation</t>
        </is>
      </c>
      <c r="D76" t="n">
        <v>2021</v>
      </c>
      <c r="E76" t="inlineStr">
        <is>
          <t>Malavika Raghavan</t>
        </is>
      </c>
      <c r="F76" t="inlineStr">
        <is>
          <t>Routledge eBooks</t>
        </is>
      </c>
      <c r="G76" t="n">
        <v>88</v>
      </c>
      <c r="H76" t="inlineStr">
        <is>
          <t>10.4324/9781003093442-11</t>
        </is>
      </c>
      <c r="I76" t="inlineStr">
        <is>
          <t>Multi-region</t>
        </is>
      </c>
      <c r="J76" t="inlineStr">
        <is>
          <t>European; India; United States</t>
        </is>
      </c>
      <c r="K76" t="inlineStr">
        <is>
          <t>B5:landmarks</t>
        </is>
      </c>
    </row>
    <row r="77">
      <c r="A77" t="inlineStr">
        <is>
          <t>LM00163</t>
        </is>
      </c>
      <c r="B77" t="inlineStr">
        <is>
          <t>B5</t>
        </is>
      </c>
      <c r="C77" t="inlineStr">
        <is>
          <t>India’s Aadhaar scheme and the promise of inclusive social protection</t>
        </is>
      </c>
      <c r="D77" t="n">
        <v>2017</v>
      </c>
      <c r="E77" t="inlineStr">
        <is>
          <t>Amiya Bhatia; Jacqueline Bhabha</t>
        </is>
      </c>
      <c r="F77" t="inlineStr">
        <is>
          <t>Oxford Development Studies</t>
        </is>
      </c>
      <c r="G77" t="n">
        <v>85</v>
      </c>
      <c r="H77" t="inlineStr">
        <is>
          <t>10.1080/13600818.2016.1263726</t>
        </is>
      </c>
      <c r="I77" t="inlineStr">
        <is>
          <t>South Asia</t>
        </is>
      </c>
      <c r="J77" t="inlineStr">
        <is>
          <t>India</t>
        </is>
      </c>
      <c r="K77" t="inlineStr">
        <is>
          <t>B5:india; B5:landmarks</t>
        </is>
      </c>
    </row>
    <row r="78">
      <c r="A78" t="inlineStr">
        <is>
          <t>LM00164</t>
        </is>
      </c>
      <c r="B78" t="inlineStr">
        <is>
          <t>B5</t>
        </is>
      </c>
      <c r="C78" t="inlineStr">
        <is>
          <t>The ‘Social’ De-Duplicated: On the Aadhaar Platform and the Engineering of Service</t>
        </is>
      </c>
      <c r="D78" t="n">
        <v>2019</v>
      </c>
      <c r="E78" t="inlineStr">
        <is>
          <t>Lawrence Cohen</t>
        </is>
      </c>
      <c r="F78" t="inlineStr">
        <is>
          <t>South Asia Journal of South Asian Studies</t>
        </is>
      </c>
      <c r="G78" t="n">
        <v>84</v>
      </c>
      <c r="H78" t="inlineStr">
        <is>
          <t>10.1080/00856401.2019.1593597</t>
        </is>
      </c>
      <c r="I78" t="inlineStr">
        <is>
          <t>South Asia</t>
        </is>
      </c>
      <c r="J78" t="inlineStr">
        <is>
          <t>India</t>
        </is>
      </c>
      <c r="K78" t="inlineStr">
        <is>
          <t>B5:landmarks</t>
        </is>
      </c>
    </row>
    <row r="79">
      <c r="A79" t="inlineStr">
        <is>
          <t>LM00165</t>
        </is>
      </c>
      <c r="B79" t="inlineStr">
        <is>
          <t>B5</t>
        </is>
      </c>
      <c r="C79" t="inlineStr">
        <is>
          <t>Privacy features of European eID card specifications</t>
        </is>
      </c>
      <c r="D79" t="n">
        <v>2008</v>
      </c>
      <c r="E79" t="inlineStr">
        <is>
          <t>Ingo Naumann; Giles Hogben</t>
        </is>
      </c>
      <c r="F79" t="inlineStr">
        <is>
          <t>Network Security</t>
        </is>
      </c>
      <c r="G79" t="n">
        <v>82</v>
      </c>
      <c r="H79" t="inlineStr">
        <is>
          <t>10.1016/s1353-4858(08)70097-7</t>
        </is>
      </c>
      <c r="I79" t="inlineStr">
        <is>
          <t>Global North</t>
        </is>
      </c>
      <c r="J79" t="inlineStr">
        <is>
          <t>Austria; Belgium; Estonia; Europe; European; Finland; France; Germany; Italy; Netherlands; Spain; Sweden; United Kingdom</t>
        </is>
      </c>
      <c r="K79" t="inlineStr">
        <is>
          <t>B5:landmarks</t>
        </is>
      </c>
    </row>
    <row r="80">
      <c r="A80" t="inlineStr">
        <is>
          <t>LM00166</t>
        </is>
      </c>
      <c r="B80" t="inlineStr">
        <is>
          <t>B5</t>
        </is>
      </c>
      <c r="C80" t="inlineStr">
        <is>
          <t>BIOMETRICS, IDENTIFICATION AND SURVEILLANCE</t>
        </is>
      </c>
      <c r="D80" t="n">
        <v>2008</v>
      </c>
      <c r="E80" t="inlineStr">
        <is>
          <t>David Lyon</t>
        </is>
      </c>
      <c r="F80" t="inlineStr">
        <is>
          <t>Bioethics</t>
        </is>
      </c>
      <c r="G80" t="n">
        <v>82</v>
      </c>
      <c r="H80" t="inlineStr">
        <is>
          <t>10.1111/j.1467-8519.2008.00697.x</t>
        </is>
      </c>
      <c r="I80" t="inlineStr">
        <is>
          <t>Not place-specific</t>
        </is>
      </c>
      <c r="J80" t="inlineStr"/>
      <c r="K80" t="inlineStr">
        <is>
          <t>B5:landmarks</t>
        </is>
      </c>
    </row>
    <row r="81">
      <c r="A81" t="inlineStr">
        <is>
          <t>LM00167</t>
        </is>
      </c>
      <c r="B81" t="inlineStr">
        <is>
          <t>B5</t>
        </is>
      </c>
      <c r="C81" t="inlineStr">
        <is>
          <t>Online voting system for India based on AADHAAR ID</t>
        </is>
      </c>
      <c r="D81" t="n">
        <v>2013</v>
      </c>
      <c r="E81" t="inlineStr">
        <is>
          <t>Himanshu Agarwal; G. N. Pandey</t>
        </is>
      </c>
      <c r="F81" t="inlineStr">
        <is>
          <t>International Conference on ICT and Knowledge Engineering</t>
        </is>
      </c>
      <c r="G81" t="n">
        <v>78</v>
      </c>
      <c r="H81" t="inlineStr">
        <is>
          <t>10.1109/ictke.2013.6756265</t>
        </is>
      </c>
      <c r="I81" t="inlineStr">
        <is>
          <t>South Asia</t>
        </is>
      </c>
      <c r="J81" t="inlineStr">
        <is>
          <t>India</t>
        </is>
      </c>
      <c r="K81" t="inlineStr">
        <is>
          <t>B5:landmarks</t>
        </is>
      </c>
    </row>
    <row r="82">
      <c r="A82" t="inlineStr">
        <is>
          <t>LM00168</t>
        </is>
      </c>
      <c r="B82" t="inlineStr">
        <is>
          <t>B5</t>
        </is>
      </c>
      <c r="C82" t="inlineStr">
        <is>
          <t>Electronic identity management in Estonia between market and state governance</t>
        </is>
      </c>
      <c r="D82" t="n">
        <v>2010</v>
      </c>
      <c r="E82" t="inlineStr">
        <is>
          <t>Tarvi Martens</t>
        </is>
      </c>
      <c r="F82" t="inlineStr">
        <is>
          <t>Identity in the Information Society</t>
        </is>
      </c>
      <c r="G82" t="n">
        <v>76</v>
      </c>
      <c r="H82" t="inlineStr">
        <is>
          <t>10.1007/s12394-010-0044-0</t>
        </is>
      </c>
      <c r="I82" t="inlineStr">
        <is>
          <t>Global North</t>
        </is>
      </c>
      <c r="J82" t="inlineStr">
        <is>
          <t>Austria; Belgium; Estonia; European; Germany; Spain</t>
        </is>
      </c>
      <c r="K82" t="inlineStr">
        <is>
          <t>B5:landmarks</t>
        </is>
      </c>
    </row>
    <row r="83">
      <c r="A83" t="inlineStr">
        <is>
          <t>LM00169</t>
        </is>
      </c>
      <c r="B83" t="inlineStr">
        <is>
          <t>B5</t>
        </is>
      </c>
      <c r="C83" t="inlineStr">
        <is>
          <t>Hacking the Cis-tem</t>
        </is>
      </c>
      <c r="D83" t="n">
        <v>2019</v>
      </c>
      <c r="E83" t="inlineStr">
        <is>
          <t>Mar Hicks</t>
        </is>
      </c>
      <c r="F83" t="inlineStr">
        <is>
          <t>IEEE Annals of the History of Computing</t>
        </is>
      </c>
      <c r="G83" t="n">
        <v>76</v>
      </c>
      <c r="H83" t="inlineStr">
        <is>
          <t>10.1109/mahc.2019.2897667</t>
        </is>
      </c>
      <c r="I83" t="inlineStr">
        <is>
          <t>Global North</t>
        </is>
      </c>
      <c r="J83" t="inlineStr">
        <is>
          <t>United Kingdom</t>
        </is>
      </c>
      <c r="K83" t="inlineStr">
        <is>
          <t>B5:landmarks</t>
        </is>
      </c>
    </row>
    <row r="84">
      <c r="A84" t="inlineStr">
        <is>
          <t>LM00170</t>
        </is>
      </c>
      <c r="B84" t="inlineStr">
        <is>
          <t>B5</t>
        </is>
      </c>
      <c r="C84" t="inlineStr">
        <is>
          <t>Advancing E-governance for development: Digital identification and its link to socioeconomic inclusion</t>
        </is>
      </c>
      <c r="D84" t="n">
        <v>2021</v>
      </c>
      <c r="E84" t="inlineStr">
        <is>
          <t>Atta Addo; Prince Kwame Senyo</t>
        </is>
      </c>
      <c r="F84" t="inlineStr">
        <is>
          <t>Government Information Quarterly</t>
        </is>
      </c>
      <c r="G84" t="n">
        <v>76</v>
      </c>
      <c r="H84" t="inlineStr">
        <is>
          <t>10.1016/j.giq.2021.101568</t>
        </is>
      </c>
      <c r="I84" t="inlineStr">
        <is>
          <t>Not place-specific</t>
        </is>
      </c>
      <c r="J84" t="inlineStr"/>
      <c r="K84" t="inlineStr">
        <is>
          <t>B5:landmarks</t>
        </is>
      </c>
    </row>
    <row r="85">
      <c r="A85" t="inlineStr">
        <is>
          <t>LM00171</t>
        </is>
      </c>
      <c r="B85" t="inlineStr">
        <is>
          <t>B5</t>
        </is>
      </c>
      <c r="C85" t="inlineStr">
        <is>
          <t>Automated Muzzle Detection and Biometric Identification via Few-Shot Deep Transfer Learning of Mixed Breed Cattle</t>
        </is>
      </c>
      <c r="D85" t="n">
        <v>2021</v>
      </c>
      <c r="E85" t="inlineStr">
        <is>
          <t>Ali Shojaeipour; Greg Falzon; Paul Kwan; Nooshin Hadavi; Frances C. Cowley; David Paúl</t>
        </is>
      </c>
      <c r="F85" t="inlineStr">
        <is>
          <t>Agronomy</t>
        </is>
      </c>
      <c r="G85" t="n">
        <v>75</v>
      </c>
      <c r="H85" t="inlineStr">
        <is>
          <t>10.3390/agronomy11112365</t>
        </is>
      </c>
      <c r="I85" t="inlineStr">
        <is>
          <t>Not place-specific</t>
        </is>
      </c>
      <c r="J85" t="inlineStr"/>
      <c r="K85" t="inlineStr">
        <is>
          <t>B5:landmarks</t>
        </is>
      </c>
    </row>
    <row r="86">
      <c r="A86" t="inlineStr">
        <is>
          <t>LM00172</t>
        </is>
      </c>
      <c r="B86" t="inlineStr">
        <is>
          <t>B5</t>
        </is>
      </c>
      <c r="C86" t="inlineStr">
        <is>
          <t>Security, Risk and the Biometric State: Governing Borders and Bodies</t>
        </is>
      </c>
      <c r="D86" t="n">
        <v>2010</v>
      </c>
      <c r="E86" t="inlineStr">
        <is>
          <t>Benjamin Müller</t>
        </is>
      </c>
      <c r="F86" t="inlineStr"/>
      <c r="G86" t="n">
        <v>75</v>
      </c>
      <c r="H86" t="inlineStr"/>
      <c r="I86" t="inlineStr">
        <is>
          <t>Global North</t>
        </is>
      </c>
      <c r="J86" t="inlineStr">
        <is>
          <t>Canada; Ireland</t>
        </is>
      </c>
      <c r="K86" t="inlineStr">
        <is>
          <t>B5:landmarks</t>
        </is>
      </c>
    </row>
    <row r="87">
      <c r="A87" t="inlineStr">
        <is>
          <t>LM00173</t>
        </is>
      </c>
      <c r="B87" t="inlineStr">
        <is>
          <t>B5</t>
        </is>
      </c>
      <c r="C87" t="inlineStr">
        <is>
          <t>“Money Is Your Government”: Refugees, Mobility, and Unstable Documents in Kenya’s Operation Usalama Watch</t>
        </is>
      </c>
      <c r="D87" t="n">
        <v>2016</v>
      </c>
      <c r="E87" t="inlineStr">
        <is>
          <t>Sophia Balakian</t>
        </is>
      </c>
      <c r="F87" t="inlineStr">
        <is>
          <t>African Studies Review</t>
        </is>
      </c>
      <c r="G87" t="n">
        <v>74</v>
      </c>
      <c r="H87" t="inlineStr">
        <is>
          <t>10.1017/asr.2016.36</t>
        </is>
      </c>
      <c r="I87" t="inlineStr">
        <is>
          <t>Africa</t>
        </is>
      </c>
      <c r="J87" t="inlineStr">
        <is>
          <t>Kenya; Nairobi</t>
        </is>
      </c>
      <c r="K87" t="inlineStr">
        <is>
          <t>B5:landmarks</t>
        </is>
      </c>
    </row>
    <row r="88">
      <c r="A88" t="inlineStr">
        <is>
          <t>LM00174</t>
        </is>
      </c>
      <c r="B88" t="inlineStr">
        <is>
          <t>B5</t>
        </is>
      </c>
      <c r="C88" t="inlineStr">
        <is>
          <t>Fixing State Vision: Interoperability, Biometrics, and Identity Management in the EU</t>
        </is>
      </c>
      <c r="D88" t="n">
        <v>2020</v>
      </c>
      <c r="E88" t="inlineStr">
        <is>
          <t>Matthias Leese</t>
        </is>
      </c>
      <c r="F88" t="inlineStr">
        <is>
          <t>Geopolitics</t>
        </is>
      </c>
      <c r="G88" t="n">
        <v>72</v>
      </c>
      <c r="H88" t="inlineStr">
        <is>
          <t>10.1080/14650045.2020.1830764</t>
        </is>
      </c>
      <c r="I88" t="inlineStr">
        <is>
          <t>Global North</t>
        </is>
      </c>
      <c r="J88" t="inlineStr">
        <is>
          <t>European</t>
        </is>
      </c>
      <c r="K88" t="inlineStr">
        <is>
          <t>B5:landmarks</t>
        </is>
      </c>
    </row>
    <row r="89">
      <c r="A89" t="inlineStr">
        <is>
          <t>LM00175</t>
        </is>
      </c>
      <c r="B89" t="inlineStr">
        <is>
          <t>B5</t>
        </is>
      </c>
      <c r="C89" t="inlineStr">
        <is>
          <t>Uneven Borders, Coloured (Im)mobilities: ID Cards in Palestine/Israel</t>
        </is>
      </c>
      <c r="D89" t="n">
        <v>2012</v>
      </c>
      <c r="E89" t="inlineStr">
        <is>
          <t>Helga Tawil‐Souri</t>
        </is>
      </c>
      <c r="F89" t="inlineStr">
        <is>
          <t>Geopolitics</t>
        </is>
      </c>
      <c r="G89" t="n">
        <v>71</v>
      </c>
      <c r="H89" t="inlineStr">
        <is>
          <t>10.1080/14650045.2011.562944</t>
        </is>
      </c>
      <c r="I89" t="inlineStr">
        <is>
          <t>Middle East</t>
        </is>
      </c>
      <c r="J89" t="inlineStr">
        <is>
          <t>Israel; Jerusalem; Palestine</t>
        </is>
      </c>
      <c r="K89" t="inlineStr">
        <is>
          <t>B5:landmarks</t>
        </is>
      </c>
    </row>
    <row r="90">
      <c r="A90" t="inlineStr">
        <is>
          <t>LM00176</t>
        </is>
      </c>
      <c r="B90" t="inlineStr">
        <is>
          <t>B5</t>
        </is>
      </c>
      <c r="C90" t="inlineStr">
        <is>
          <t>Aiding Surveillance: An Exploration of How Development and Humanitarian Aid Initiatives are Enabling Surveillance in Developing Countries</t>
        </is>
      </c>
      <c r="D90" t="n">
        <v>2013</v>
      </c>
      <c r="E90" t="inlineStr">
        <is>
          <t>Gus Hosein; Carly Nyst</t>
        </is>
      </c>
      <c r="F90" t="inlineStr">
        <is>
          <t>SSRN Electronic Journal</t>
        </is>
      </c>
      <c r="G90" t="n">
        <v>71</v>
      </c>
      <c r="H90" t="inlineStr">
        <is>
          <t>10.2139/ssrn.2326229</t>
        </is>
      </c>
      <c r="I90" t="inlineStr">
        <is>
          <t>Not place-specific</t>
        </is>
      </c>
      <c r="J90" t="inlineStr"/>
      <c r="K90" t="inlineStr">
        <is>
          <t>B5:landmarks</t>
        </is>
      </c>
    </row>
    <row r="91">
      <c r="A91" t="inlineStr">
        <is>
          <t>LM00248</t>
        </is>
      </c>
      <c r="B91" t="inlineStr">
        <is>
          <t>C2</t>
        </is>
      </c>
      <c r="C91" t="inlineStr">
        <is>
          <t>The Platform Society</t>
        </is>
      </c>
      <c r="D91" t="n">
        <v>2018</v>
      </c>
      <c r="E91" t="inlineStr">
        <is>
          <t>José van Dijck; Thomas Poell; Martijn de Waal</t>
        </is>
      </c>
      <c r="F91" t="inlineStr"/>
      <c r="G91" t="n">
        <v>2865</v>
      </c>
      <c r="H91" t="inlineStr">
        <is>
          <t>10.1093/oso/9780190889760.001.0001</t>
        </is>
      </c>
      <c r="I91" t="inlineStr">
        <is>
          <t>Not place-specific</t>
        </is>
      </c>
      <c r="J91" t="inlineStr"/>
      <c r="K91" t="inlineStr">
        <is>
          <t>C2:landmarks</t>
        </is>
      </c>
    </row>
    <row r="92">
      <c r="A92" t="inlineStr">
        <is>
          <t>LM00249</t>
        </is>
      </c>
      <c r="B92" t="inlineStr">
        <is>
          <t>C2</t>
        </is>
      </c>
      <c r="C92" t="inlineStr">
        <is>
          <t>The Metaverse as a Virtual Form of Smart Cities: Opportunities and Challenges for Environmental, Economic, and Social Sustainability in Urban Futures</t>
        </is>
      </c>
      <c r="D92" t="n">
        <v>2022</v>
      </c>
      <c r="E92" t="inlineStr">
        <is>
          <t>Zaheer Allam; Ayyoob Sharifi; Simon Elias Bibri; David Sydney Jones; John Krogstie</t>
        </is>
      </c>
      <c r="F92" t="inlineStr">
        <is>
          <t>Smart Cities</t>
        </is>
      </c>
      <c r="G92" t="n">
        <v>684</v>
      </c>
      <c r="H92" t="inlineStr">
        <is>
          <t>10.3390/smartcities5030040</t>
        </is>
      </c>
      <c r="I92" t="inlineStr">
        <is>
          <t>Not place-specific</t>
        </is>
      </c>
      <c r="J92" t="inlineStr"/>
      <c r="K92" t="inlineStr">
        <is>
          <t>C2:landmarks</t>
        </is>
      </c>
    </row>
    <row r="93">
      <c r="A93" t="inlineStr">
        <is>
          <t>LM00250</t>
        </is>
      </c>
      <c r="B93" t="inlineStr">
        <is>
          <t>C2</t>
        </is>
      </c>
      <c r="C93" t="inlineStr">
        <is>
          <t>Glitchy vignettes of platform urbanism</t>
        </is>
      </c>
      <c r="D93" t="n">
        <v>2019</v>
      </c>
      <c r="E93" t="inlineStr">
        <is>
          <t>Agnieszka Leszczynski</t>
        </is>
      </c>
      <c r="F93" t="inlineStr">
        <is>
          <t>Environment and Planning D Society and Space</t>
        </is>
      </c>
      <c r="G93" t="n">
        <v>322</v>
      </c>
      <c r="H93" t="inlineStr">
        <is>
          <t>10.1177/0263775819878721</t>
        </is>
      </c>
      <c r="I93" t="inlineStr">
        <is>
          <t>Not place-specific</t>
        </is>
      </c>
      <c r="J93" t="inlineStr"/>
      <c r="K93" t="inlineStr">
        <is>
          <t>C2:landmarks</t>
        </is>
      </c>
    </row>
    <row r="94">
      <c r="A94" t="inlineStr">
        <is>
          <t>LM00251</t>
        </is>
      </c>
      <c r="B94" t="inlineStr">
        <is>
          <t>C2</t>
        </is>
      </c>
      <c r="C94" t="inlineStr">
        <is>
          <t>Questioning mobility as a service: Unanticipated implications for society and governance</t>
        </is>
      </c>
      <c r="D94" t="n">
        <v>2019</v>
      </c>
      <c r="E94" t="inlineStr">
        <is>
          <t>Kate Pangbourne; Miloš N. Mladenović; Dominic Stead; Dimitris Milakis</t>
        </is>
      </c>
      <c r="F94" t="inlineStr">
        <is>
          <t>Transportation Research Part A Policy and Practice</t>
        </is>
      </c>
      <c r="G94" t="n">
        <v>304</v>
      </c>
      <c r="H94" t="inlineStr">
        <is>
          <t>10.1016/j.tra.2019.09.033</t>
        </is>
      </c>
      <c r="I94" t="inlineStr">
        <is>
          <t>Not place-specific</t>
        </is>
      </c>
      <c r="J94" t="inlineStr"/>
      <c r="K94" t="inlineStr">
        <is>
          <t>C2:landmarks</t>
        </is>
      </c>
    </row>
    <row r="95">
      <c r="A95" t="inlineStr">
        <is>
          <t>LM00252</t>
        </is>
      </c>
      <c r="B95" t="inlineStr">
        <is>
          <t>C2</t>
        </is>
      </c>
      <c r="C95" t="inlineStr">
        <is>
          <t>Platform Urbanism</t>
        </is>
      </c>
      <c r="D95" t="n">
        <v>2019</v>
      </c>
      <c r="E95" t="inlineStr">
        <is>
          <t>Sarah Barns</t>
        </is>
      </c>
      <c r="F95" t="inlineStr">
        <is>
          <t>Springer eBooks</t>
        </is>
      </c>
      <c r="G95" t="n">
        <v>260</v>
      </c>
      <c r="H95" t="inlineStr">
        <is>
          <t>10.1007/978-981-32-9725-8</t>
        </is>
      </c>
      <c r="I95" t="inlineStr">
        <is>
          <t>Not place-specific</t>
        </is>
      </c>
      <c r="J95" t="inlineStr"/>
      <c r="K95" t="inlineStr">
        <is>
          <t>C2:landmarks</t>
        </is>
      </c>
    </row>
    <row r="96">
      <c r="A96" t="inlineStr">
        <is>
          <t>LM00253</t>
        </is>
      </c>
      <c r="B96" t="inlineStr">
        <is>
          <t>C2</t>
        </is>
      </c>
      <c r="C96" t="inlineStr">
        <is>
          <t>Regulate, replicate, and resist – the conjunctural geographies of platform urbanism</t>
        </is>
      </c>
      <c r="D96" t="n">
        <v>2020</v>
      </c>
      <c r="E96" t="inlineStr">
        <is>
          <t>Mark J Graham</t>
        </is>
      </c>
      <c r="F96" t="inlineStr">
        <is>
          <t>Urban Geography</t>
        </is>
      </c>
      <c r="G96" t="n">
        <v>250</v>
      </c>
      <c r="H96" t="inlineStr">
        <is>
          <t>10.1080/02723638.2020.1717028</t>
        </is>
      </c>
      <c r="I96" t="inlineStr">
        <is>
          <t>Not place-specific</t>
        </is>
      </c>
      <c r="J96" t="inlineStr"/>
      <c r="K96" t="inlineStr">
        <is>
          <t>C2:landmarks</t>
        </is>
      </c>
    </row>
    <row r="97">
      <c r="A97" t="inlineStr">
        <is>
          <t>LM00254</t>
        </is>
      </c>
      <c r="B97" t="inlineStr">
        <is>
          <t>C2</t>
        </is>
      </c>
      <c r="C97" t="inlineStr">
        <is>
          <t>The rise of on-demand ‘Instant Deliveries’ in European cities</t>
        </is>
      </c>
      <c r="D97" t="n">
        <v>2017</v>
      </c>
      <c r="E97" t="inlineStr">
        <is>
          <t>Lætitia Dablanc; Eléonora Morganti; Niklas Arvidsson; Johan Woxenius; Michael J. Browne; Neïla Saidi</t>
        </is>
      </c>
      <c r="F97" t="inlineStr">
        <is>
          <t>Supply Chain Forum an International Journal</t>
        </is>
      </c>
      <c r="G97" t="n">
        <v>232</v>
      </c>
      <c r="H97" t="inlineStr">
        <is>
          <t>10.1080/16258312.2017.1375375</t>
        </is>
      </c>
      <c r="I97" t="inlineStr">
        <is>
          <t>Global North</t>
        </is>
      </c>
      <c r="J97" t="inlineStr">
        <is>
          <t>European</t>
        </is>
      </c>
      <c r="K97" t="inlineStr">
        <is>
          <t>C2:landmarks</t>
        </is>
      </c>
    </row>
    <row r="98">
      <c r="A98" t="inlineStr">
        <is>
          <t>LM00255</t>
        </is>
      </c>
      <c r="B98" t="inlineStr">
        <is>
          <t>C2</t>
        </is>
      </c>
      <c r="C98" t="inlineStr">
        <is>
          <t>Platformization of the Unlikely Creative Class: Kuaishou and Chinese Digital Cultural Production</t>
        </is>
      </c>
      <c r="D98" t="n">
        <v>2019</v>
      </c>
      <c r="E98" t="inlineStr">
        <is>
          <t>Jian Lin; Jeroen de Kloet</t>
        </is>
      </c>
      <c r="F98" t="inlineStr">
        <is>
          <t>Social Media + Society</t>
        </is>
      </c>
      <c r="G98" t="n">
        <v>219</v>
      </c>
      <c r="H98" t="inlineStr">
        <is>
          <t>10.1177/2056305119883430</t>
        </is>
      </c>
      <c r="I98" t="inlineStr">
        <is>
          <t>China &amp; East Asia</t>
        </is>
      </c>
      <c r="J98" t="inlineStr">
        <is>
          <t>China</t>
        </is>
      </c>
      <c r="K98" t="inlineStr">
        <is>
          <t>C2:landmarks</t>
        </is>
      </c>
    </row>
    <row r="99">
      <c r="A99" t="inlineStr">
        <is>
          <t>LM00256</t>
        </is>
      </c>
      <c r="B99" t="inlineStr">
        <is>
          <t>C2</t>
        </is>
      </c>
      <c r="C99" t="inlineStr">
        <is>
          <t>Infrastructuralization of Tik Tok: transformation, power relationships, and platformization of video entertainment in China</t>
        </is>
      </c>
      <c r="D99" t="n">
        <v>2020</v>
      </c>
      <c r="E99" t="inlineStr">
        <is>
          <t>Zongyi Zhang</t>
        </is>
      </c>
      <c r="F99" t="inlineStr">
        <is>
          <t>Media Culture &amp; Society</t>
        </is>
      </c>
      <c r="G99" t="n">
        <v>215</v>
      </c>
      <c r="H99" t="inlineStr">
        <is>
          <t>10.1177/0163443720939452</t>
        </is>
      </c>
      <c r="I99" t="inlineStr">
        <is>
          <t>China &amp; East Asia</t>
        </is>
      </c>
      <c r="J99" t="inlineStr">
        <is>
          <t>China</t>
        </is>
      </c>
      <c r="K99" t="inlineStr">
        <is>
          <t>C2:landmarks</t>
        </is>
      </c>
    </row>
    <row r="100">
      <c r="A100" t="inlineStr">
        <is>
          <t>LM00257</t>
        </is>
      </c>
      <c r="B100" t="inlineStr">
        <is>
          <t>C2</t>
        </is>
      </c>
      <c r="C100" t="inlineStr">
        <is>
          <t>City-as-a-Platform: The Rise of Participatory Innovation Platforms in Finnish Cities</t>
        </is>
      </c>
      <c r="D100" t="n">
        <v>2016</v>
      </c>
      <c r="E100" t="inlineStr">
        <is>
          <t>Ari‐Veikko Anttiroiko</t>
        </is>
      </c>
      <c r="F100" t="inlineStr">
        <is>
          <t>Sustainability</t>
        </is>
      </c>
      <c r="G100" t="n">
        <v>209</v>
      </c>
      <c r="H100" t="inlineStr">
        <is>
          <t>10.3390/su8090922</t>
        </is>
      </c>
      <c r="I100" t="inlineStr">
        <is>
          <t>Global North</t>
        </is>
      </c>
      <c r="J100" t="inlineStr">
        <is>
          <t>Finland; Helsinki</t>
        </is>
      </c>
      <c r="K100" t="inlineStr">
        <is>
          <t>C2:landmarks</t>
        </is>
      </c>
    </row>
    <row r="101">
      <c r="A101" t="inlineStr">
        <is>
          <t>LM00258</t>
        </is>
      </c>
      <c r="B101" t="inlineStr">
        <is>
          <t>C2</t>
        </is>
      </c>
      <c r="C101" t="inlineStr">
        <is>
          <t>Negotiating the platform pivot: From participatory digital ecosystems to infrastructures of everyday life</t>
        </is>
      </c>
      <c r="D101" t="n">
        <v>2019</v>
      </c>
      <c r="E101" t="inlineStr">
        <is>
          <t>Sarah Barns</t>
        </is>
      </c>
      <c r="F101" t="inlineStr">
        <is>
          <t>Geography Compass</t>
        </is>
      </c>
      <c r="G101" t="n">
        <v>199</v>
      </c>
      <c r="H101" t="inlineStr">
        <is>
          <t>10.1111/gec3.12464</t>
        </is>
      </c>
      <c r="I101" t="inlineStr">
        <is>
          <t>Not place-specific</t>
        </is>
      </c>
      <c r="J101" t="inlineStr"/>
      <c r="K101" t="inlineStr">
        <is>
          <t>C2:landmarks</t>
        </is>
      </c>
    </row>
    <row r="102">
      <c r="A102" t="inlineStr">
        <is>
          <t>LM00259</t>
        </is>
      </c>
      <c r="B102" t="inlineStr">
        <is>
          <t>C2</t>
        </is>
      </c>
      <c r="C102" t="inlineStr">
        <is>
          <t>Gig work as migrant work: The platformization of migration infrastructure</t>
        </is>
      </c>
      <c r="D102" t="n">
        <v>2021</v>
      </c>
      <c r="E102" t="inlineStr">
        <is>
          <t>Niels van Doorn; Darsana Vijay</t>
        </is>
      </c>
      <c r="F102" t="inlineStr">
        <is>
          <t>Environment and Planning A Economy and Space</t>
        </is>
      </c>
      <c r="G102" t="n">
        <v>198</v>
      </c>
      <c r="H102" t="inlineStr">
        <is>
          <t>10.1177/0308518x211065049</t>
        </is>
      </c>
      <c r="I102" t="inlineStr">
        <is>
          <t>Global North</t>
        </is>
      </c>
      <c r="J102" t="inlineStr">
        <is>
          <t>Amsterdam; Berlin; New York</t>
        </is>
      </c>
      <c r="K102" t="inlineStr">
        <is>
          <t>C2:landmarks</t>
        </is>
      </c>
    </row>
    <row r="103">
      <c r="A103" t="inlineStr">
        <is>
          <t>LM00260</t>
        </is>
      </c>
      <c r="B103" t="inlineStr">
        <is>
          <t>C2</t>
        </is>
      </c>
      <c r="C103" t="inlineStr">
        <is>
          <t>Cyberspace and cityscapes: on the emergence of platform urbanism</t>
        </is>
      </c>
      <c r="D103" t="n">
        <v>2020</v>
      </c>
      <c r="E103" t="inlineStr">
        <is>
          <t>Jathan Sadowski</t>
        </is>
      </c>
      <c r="F103" t="inlineStr">
        <is>
          <t>Urban Geography</t>
        </is>
      </c>
      <c r="G103" t="n">
        <v>191</v>
      </c>
      <c r="H103" t="inlineStr">
        <is>
          <t>10.1080/02723638.2020.1721055</t>
        </is>
      </c>
      <c r="I103" t="inlineStr">
        <is>
          <t>Not place-specific</t>
        </is>
      </c>
      <c r="J103" t="inlineStr"/>
      <c r="K103" t="inlineStr">
        <is>
          <t>C2:landmarks</t>
        </is>
      </c>
    </row>
    <row r="104">
      <c r="A104" t="inlineStr">
        <is>
          <t>LM00261</t>
        </is>
      </c>
      <c r="B104" t="inlineStr">
        <is>
          <t>C2</t>
        </is>
      </c>
      <c r="C104" t="inlineStr">
        <is>
          <t>Mobile workers, contingent labour: Migration, the gig economy and the multiplication of labour</t>
        </is>
      </c>
      <c r="D104" t="n">
        <v>2021</v>
      </c>
      <c r="E104" t="inlineStr">
        <is>
          <t>Moritz Altenried</t>
        </is>
      </c>
      <c r="F104" t="inlineStr">
        <is>
          <t>Environment and Planning A Economy and Space</t>
        </is>
      </c>
      <c r="G104" t="n">
        <v>184</v>
      </c>
      <c r="H104" t="inlineStr">
        <is>
          <t>10.1177/0308518x211054846</t>
        </is>
      </c>
      <c r="I104" t="inlineStr">
        <is>
          <t>Global North</t>
        </is>
      </c>
      <c r="J104" t="inlineStr">
        <is>
          <t>Berlin</t>
        </is>
      </c>
      <c r="K104" t="inlineStr">
        <is>
          <t>C2:landmarks</t>
        </is>
      </c>
    </row>
    <row r="105">
      <c r="A105" t="inlineStr">
        <is>
          <t>LM00262</t>
        </is>
      </c>
      <c r="B105" t="inlineStr">
        <is>
          <t>C2</t>
        </is>
      </c>
      <c r="C105" t="inlineStr">
        <is>
          <t>Platform Urbanism: Negotiating Platform Ecosystems in Connected Cities</t>
        </is>
      </c>
      <c r="D105" t="n">
        <v>2019</v>
      </c>
      <c r="E105" t="inlineStr">
        <is>
          <t>Sarah Barns</t>
        </is>
      </c>
      <c r="F105" t="inlineStr">
        <is>
          <t>QUT ePrints (Queensland University of Technology)</t>
        </is>
      </c>
      <c r="G105" t="n">
        <v>182</v>
      </c>
      <c r="H105" t="inlineStr"/>
      <c r="I105" t="inlineStr">
        <is>
          <t>Not place-specific</t>
        </is>
      </c>
      <c r="J105" t="inlineStr"/>
      <c r="K105" t="inlineStr">
        <is>
          <t>C2:landmarks</t>
        </is>
      </c>
    </row>
    <row r="106">
      <c r="A106" t="inlineStr">
        <is>
          <t>LM00263</t>
        </is>
      </c>
      <c r="B106" t="inlineStr">
        <is>
          <t>C2</t>
        </is>
      </c>
      <c r="C106" t="inlineStr">
        <is>
          <t>Does Sharing Mean Caring? Regulating Innovation in the Sharing Economy</t>
        </is>
      </c>
      <c r="D106" t="n">
        <v>2015</v>
      </c>
      <c r="E106" t="inlineStr">
        <is>
          <t>Sofia Ranchordás</t>
        </is>
      </c>
      <c r="F106" t="inlineStr">
        <is>
          <t>Minnesota journal of law science &amp; technology</t>
        </is>
      </c>
      <c r="G106" t="n">
        <v>175</v>
      </c>
      <c r="H106" t="inlineStr">
        <is>
          <t>10.24926/15529541.3715</t>
        </is>
      </c>
      <c r="I106" t="inlineStr">
        <is>
          <t>Not place-specific</t>
        </is>
      </c>
      <c r="J106" t="inlineStr"/>
      <c r="K106" t="inlineStr">
        <is>
          <t>C2:landmarks</t>
        </is>
      </c>
    </row>
    <row r="107">
      <c r="A107" t="inlineStr">
        <is>
          <t>LM00264</t>
        </is>
      </c>
      <c r="B107" t="inlineStr">
        <is>
          <t>C2</t>
        </is>
      </c>
      <c r="C107" t="inlineStr">
        <is>
          <t>A new institution on the block: On platform urbanism and Airbnb citizenship</t>
        </is>
      </c>
      <c r="D107" t="n">
        <v>2019</v>
      </c>
      <c r="E107" t="inlineStr">
        <is>
          <t>Niels van Doorn</t>
        </is>
      </c>
      <c r="F107" t="inlineStr">
        <is>
          <t>New Media &amp; Society</t>
        </is>
      </c>
      <c r="G107" t="n">
        <v>161</v>
      </c>
      <c r="H107" t="inlineStr">
        <is>
          <t>10.1177/1461444819884377</t>
        </is>
      </c>
      <c r="I107" t="inlineStr">
        <is>
          <t>Not place-specific</t>
        </is>
      </c>
      <c r="J107" t="inlineStr"/>
      <c r="K107" t="inlineStr">
        <is>
          <t>C2:landmarks</t>
        </is>
      </c>
    </row>
    <row r="108">
      <c r="A108" t="inlineStr">
        <is>
          <t>LM00265</t>
        </is>
      </c>
      <c r="B108" t="inlineStr">
        <is>
          <t>C2</t>
        </is>
      </c>
      <c r="C108" t="inlineStr">
        <is>
          <t>Platform mobilities and the production of urban space: Toward a typology of platformization trajectories</t>
        </is>
      </c>
      <c r="D108" t="n">
        <v>2020</v>
      </c>
      <c r="E108" t="inlineStr">
        <is>
          <t>John G. Stehlin; Michael Hodson; Andrew McMeekin</t>
        </is>
      </c>
      <c r="F108" t="inlineStr">
        <is>
          <t>Environment and Planning A Economy and Space</t>
        </is>
      </c>
      <c r="G108" t="n">
        <v>155</v>
      </c>
      <c r="H108" t="inlineStr">
        <is>
          <t>10.1177/0308518x19896801</t>
        </is>
      </c>
      <c r="I108" t="inlineStr">
        <is>
          <t>Multi-region</t>
        </is>
      </c>
      <c r="J108" t="inlineStr">
        <is>
          <t>East Asia; Europe; North America</t>
        </is>
      </c>
      <c r="K108" t="inlineStr">
        <is>
          <t>C2:landmarks</t>
        </is>
      </c>
    </row>
    <row r="109">
      <c r="A109" t="inlineStr">
        <is>
          <t>LM00266</t>
        </is>
      </c>
      <c r="B109" t="inlineStr">
        <is>
          <t>C2</t>
        </is>
      </c>
      <c r="C109" t="inlineStr">
        <is>
          <t>Temporal arbitrage, fragmented rush, and opportunistic behaviors: The labor politics of time in the platform economy</t>
        </is>
      </c>
      <c r="D109" t="n">
        <v>2020</v>
      </c>
      <c r="E109" t="inlineStr">
        <is>
          <t>Yu-Jie Chen; Ping Sun</t>
        </is>
      </c>
      <c r="F109" t="inlineStr">
        <is>
          <t>New Media &amp; Society</t>
        </is>
      </c>
      <c r="G109" t="n">
        <v>152</v>
      </c>
      <c r="H109" t="inlineStr">
        <is>
          <t>10.1177/1461444820913567</t>
        </is>
      </c>
      <c r="I109" t="inlineStr">
        <is>
          <t>China &amp; East Asia</t>
        </is>
      </c>
      <c r="J109" t="inlineStr">
        <is>
          <t>China</t>
        </is>
      </c>
      <c r="K109" t="inlineStr">
        <is>
          <t>C2:landmarks</t>
        </is>
      </c>
    </row>
    <row r="110">
      <c r="A110" t="inlineStr">
        <is>
          <t>LM00267</t>
        </is>
      </c>
      <c r="B110" t="inlineStr">
        <is>
          <t>C2</t>
        </is>
      </c>
      <c r="C110" t="inlineStr">
        <is>
          <t>The Metaverse as a virtual form of data-driven smart cities: the ethics of the hyper-connectivity, datafication, algorithmization, and platformization of urban society</t>
        </is>
      </c>
      <c r="D110" t="n">
        <v>2022</v>
      </c>
      <c r="E110" t="inlineStr">
        <is>
          <t>Simon Elias Bibri; Zaheer Allam</t>
        </is>
      </c>
      <c r="F110" t="inlineStr">
        <is>
          <t>Computational Urban Science</t>
        </is>
      </c>
      <c r="G110" t="n">
        <v>147</v>
      </c>
      <c r="H110" t="inlineStr">
        <is>
          <t>10.1007/s43762-022-00050-1</t>
        </is>
      </c>
      <c r="I110" t="inlineStr">
        <is>
          <t>Not place-specific</t>
        </is>
      </c>
      <c r="J110" t="inlineStr"/>
      <c r="K110" t="inlineStr">
        <is>
          <t>C2:landmarks; C2:recent</t>
        </is>
      </c>
    </row>
    <row r="111">
      <c r="A111" t="inlineStr">
        <is>
          <t>LM00268</t>
        </is>
      </c>
      <c r="B111" t="inlineStr">
        <is>
          <t>C2</t>
        </is>
      </c>
      <c r="C111" t="inlineStr">
        <is>
          <t>Platform urbanism in a pandemic: Dark stores, ghost kitchens, and the logistical-urban frontier</t>
        </is>
      </c>
      <c r="D111" t="n">
        <v>2022</v>
      </c>
      <c r="E111" t="inlineStr">
        <is>
          <t>Aaron Shapiro</t>
        </is>
      </c>
      <c r="F111" t="inlineStr">
        <is>
          <t>Journal of Consumer Culture</t>
        </is>
      </c>
      <c r="G111" t="n">
        <v>135</v>
      </c>
      <c r="H111" t="inlineStr">
        <is>
          <t>10.1177/14695405211069983</t>
        </is>
      </c>
      <c r="I111" t="inlineStr">
        <is>
          <t>Not place-specific</t>
        </is>
      </c>
      <c r="J111" t="inlineStr"/>
      <c r="K111" t="inlineStr">
        <is>
          <t>C2:landmarks</t>
        </is>
      </c>
    </row>
    <row r="112">
      <c r="A112" t="inlineStr">
        <is>
          <t>LM00269</t>
        </is>
      </c>
      <c r="B112" t="inlineStr">
        <is>
          <t>C2</t>
        </is>
      </c>
      <c r="C112" t="inlineStr">
        <is>
          <t>The Metaverse as a virtual form of data-driven smart urbanism: platformization and its underlying processes, institutional dimensions, and disruptive impacts</t>
        </is>
      </c>
      <c r="D112" t="n">
        <v>2022</v>
      </c>
      <c r="E112" t="inlineStr">
        <is>
          <t>Simon Elias Bibri; Zaheer Allam; John Krogstie</t>
        </is>
      </c>
      <c r="F112" t="inlineStr">
        <is>
          <t>Computational Urban Science</t>
        </is>
      </c>
      <c r="G112" t="n">
        <v>132</v>
      </c>
      <c r="H112" t="inlineStr">
        <is>
          <t>10.1007/s43762-022-00051-0</t>
        </is>
      </c>
      <c r="I112" t="inlineStr">
        <is>
          <t>Not place-specific</t>
        </is>
      </c>
      <c r="J112" t="inlineStr"/>
      <c r="K112" t="inlineStr">
        <is>
          <t>C2:landmarks; C2:recent</t>
        </is>
      </c>
    </row>
    <row r="113">
      <c r="A113" t="inlineStr">
        <is>
          <t>LM00270</t>
        </is>
      </c>
      <c r="B113" t="inlineStr">
        <is>
          <t>C2</t>
        </is>
      </c>
      <c r="C113" t="inlineStr">
        <is>
          <t>Digital utility: Datafication, regulation, labor, and DiDi’s platformization of urban transport in China</t>
        </is>
      </c>
      <c r="D113" t="n">
        <v>2019</v>
      </c>
      <c r="E113" t="inlineStr">
        <is>
          <t>Yu-Jie Chen; Jack Linchuan Qiu</t>
        </is>
      </c>
      <c r="F113" t="inlineStr">
        <is>
          <t>Chinese Journal of Communication</t>
        </is>
      </c>
      <c r="G113" t="n">
        <v>129</v>
      </c>
      <c r="H113" t="inlineStr">
        <is>
          <t>10.1080/17544750.2019.1614964</t>
        </is>
      </c>
      <c r="I113" t="inlineStr">
        <is>
          <t>China &amp; East Asia</t>
        </is>
      </c>
      <c r="J113" t="inlineStr">
        <is>
          <t>China</t>
        </is>
      </c>
      <c r="K113" t="inlineStr">
        <is>
          <t>C2:landmarks</t>
        </is>
      </c>
    </row>
    <row r="114">
      <c r="A114" t="inlineStr">
        <is>
          <t>LM00271</t>
        </is>
      </c>
      <c r="B114" t="inlineStr">
        <is>
          <t>C2</t>
        </is>
      </c>
      <c r="C114" t="inlineStr">
        <is>
          <t>Platform urbanism and the Chinese smart city: the co-production and territorialisation of Hangzhou City Brain</t>
        </is>
      </c>
      <c r="D114" t="n">
        <v>2020</v>
      </c>
      <c r="E114" t="inlineStr">
        <is>
          <t>Federico Caprotti; Dong Liu</t>
        </is>
      </c>
      <c r="F114" t="inlineStr">
        <is>
          <t>GeoJournal</t>
        </is>
      </c>
      <c r="G114" t="n">
        <v>128</v>
      </c>
      <c r="H114" t="inlineStr">
        <is>
          <t>10.1007/s10708-020-10320-2</t>
        </is>
      </c>
      <c r="I114" t="inlineStr">
        <is>
          <t>China &amp; East Asia</t>
        </is>
      </c>
      <c r="J114" t="inlineStr">
        <is>
          <t>China; Hangzhou</t>
        </is>
      </c>
      <c r="K114" t="inlineStr">
        <is>
          <t>C2:landmarks</t>
        </is>
      </c>
    </row>
    <row r="115">
      <c r="A115" t="inlineStr">
        <is>
          <t>LM00272</t>
        </is>
      </c>
      <c r="B115" t="inlineStr">
        <is>
          <t>C2</t>
        </is>
      </c>
      <c r="C115" t="inlineStr">
        <is>
          <t>Beyond the smart city: a typology of platform urbanism</t>
        </is>
      </c>
      <c r="D115" t="n">
        <v>2022</v>
      </c>
      <c r="E115" t="inlineStr">
        <is>
          <t>Federico Caprotti; I-Chun Catherine Chang; Simon Joss</t>
        </is>
      </c>
      <c r="F115" t="inlineStr">
        <is>
          <t>Urban Transformations</t>
        </is>
      </c>
      <c r="G115" t="n">
        <v>127</v>
      </c>
      <c r="H115" t="inlineStr">
        <is>
          <t>10.1186/s42854-022-00033-9</t>
        </is>
      </c>
      <c r="I115" t="inlineStr">
        <is>
          <t>Not place-specific</t>
        </is>
      </c>
      <c r="J115" t="inlineStr"/>
      <c r="K115" t="inlineStr">
        <is>
          <t>C2:landmarks; C2:recent</t>
        </is>
      </c>
    </row>
    <row r="116">
      <c r="A116" t="inlineStr">
        <is>
          <t>LM00273</t>
        </is>
      </c>
      <c r="B116" t="inlineStr">
        <is>
          <t>C2</t>
        </is>
      </c>
      <c r="C116" t="inlineStr">
        <is>
          <t>Platform methods: studying platform urbanism outside the black box</t>
        </is>
      </c>
      <c r="D116" t="n">
        <v>2020</v>
      </c>
      <c r="E116" t="inlineStr">
        <is>
          <t>Desiree Fields; David Bissell; Rachel Macrorie</t>
        </is>
      </c>
      <c r="F116" t="inlineStr">
        <is>
          <t>Urban Geography</t>
        </is>
      </c>
      <c r="G116" t="n">
        <v>122</v>
      </c>
      <c r="H116" t="inlineStr">
        <is>
          <t>10.1080/02723638.2020.1730642</t>
        </is>
      </c>
      <c r="I116" t="inlineStr">
        <is>
          <t>Not place-specific</t>
        </is>
      </c>
      <c r="J116" t="inlineStr"/>
      <c r="K116" t="inlineStr">
        <is>
          <t>C2:landmarks</t>
        </is>
      </c>
    </row>
    <row r="117">
      <c r="A117" t="inlineStr">
        <is>
          <t>LM00274</t>
        </is>
      </c>
      <c r="B117" t="inlineStr">
        <is>
          <t>C2</t>
        </is>
      </c>
      <c r="C117" t="inlineStr">
        <is>
          <t>Who owns the future city? Phases of technological urbanism and shifts in sovereignty</t>
        </is>
      </c>
      <c r="D117" t="n">
        <v>2020</v>
      </c>
      <c r="E117" t="inlineStr">
        <is>
          <t>Jathan Sadowski</t>
        </is>
      </c>
      <c r="F117" t="inlineStr">
        <is>
          <t>Urban Studies</t>
        </is>
      </c>
      <c r="G117" t="n">
        <v>115</v>
      </c>
      <c r="H117" t="inlineStr">
        <is>
          <t>10.1177/0042098020913427</t>
        </is>
      </c>
      <c r="I117" t="inlineStr">
        <is>
          <t>Not place-specific</t>
        </is>
      </c>
      <c r="J117" t="inlineStr"/>
      <c r="K117" t="inlineStr">
        <is>
          <t>C2:landmarks</t>
        </is>
      </c>
    </row>
    <row r="118">
      <c r="A118" t="inlineStr">
        <is>
          <t>LM00275</t>
        </is>
      </c>
      <c r="B118" t="inlineStr">
        <is>
          <t>C2</t>
        </is>
      </c>
      <c r="C118" t="inlineStr">
        <is>
          <t>Artificial intelligence of things for synergizing smarter eco-city brain, metabolism, and platform: Pioneering data-driven environmental governance</t>
        </is>
      </c>
      <c r="D118" t="n">
        <v>2024</v>
      </c>
      <c r="E118" t="inlineStr">
        <is>
          <t>Simon Elias Bibri; Jeffrey R. Huang; John Krogstie</t>
        </is>
      </c>
      <c r="F118" t="inlineStr">
        <is>
          <t>Sustainable Cities and Society</t>
        </is>
      </c>
      <c r="G118" t="n">
        <v>109</v>
      </c>
      <c r="H118" t="inlineStr">
        <is>
          <t>10.1016/j.scs.2024.105516</t>
        </is>
      </c>
      <c r="I118" t="inlineStr">
        <is>
          <t>Not place-specific</t>
        </is>
      </c>
      <c r="J118" t="inlineStr"/>
      <c r="K118" t="inlineStr">
        <is>
          <t>C2:landmarks</t>
        </is>
      </c>
    </row>
    <row r="119">
      <c r="A119" t="inlineStr">
        <is>
          <t>LM00276</t>
        </is>
      </c>
      <c r="B119" t="inlineStr">
        <is>
          <t>C2</t>
        </is>
      </c>
      <c r="C119" t="inlineStr">
        <is>
          <t>Affective platform urbanism: Changing habits of digital on-demand consumption</t>
        </is>
      </c>
      <c r="D119" t="n">
        <v>2020</v>
      </c>
      <c r="E119" t="inlineStr">
        <is>
          <t>David Bissell</t>
        </is>
      </c>
      <c r="F119" t="inlineStr">
        <is>
          <t>Geoforum</t>
        </is>
      </c>
      <c r="G119" t="n">
        <v>102</v>
      </c>
      <c r="H119" t="inlineStr">
        <is>
          <t>10.1016/j.geoforum.2020.06.026</t>
        </is>
      </c>
      <c r="I119" t="inlineStr">
        <is>
          <t>Not place-specific</t>
        </is>
      </c>
      <c r="J119" t="inlineStr"/>
      <c r="K119" t="inlineStr">
        <is>
          <t>C2:landmarks</t>
        </is>
      </c>
    </row>
    <row r="120">
      <c r="A120" t="inlineStr">
        <is>
          <t>LM00277</t>
        </is>
      </c>
      <c r="B120" t="inlineStr">
        <is>
          <t>C2</t>
        </is>
      </c>
      <c r="C120" t="inlineStr">
        <is>
          <t>Urban Operating Systems</t>
        </is>
      </c>
      <c r="D120" t="n">
        <v>2020</v>
      </c>
      <c r="E120" t="inlineStr">
        <is>
          <t>Andrés Luque‐Ayala; Simon Marvin</t>
        </is>
      </c>
      <c r="F120" t="inlineStr">
        <is>
          <t>The MIT Press eBooks</t>
        </is>
      </c>
      <c r="G120" t="n">
        <v>97</v>
      </c>
      <c r="H120" t="inlineStr">
        <is>
          <t>10.7551/mitpress/10869.001.0001</t>
        </is>
      </c>
      <c r="I120" t="inlineStr">
        <is>
          <t>Global North</t>
        </is>
      </c>
      <c r="J120" t="inlineStr">
        <is>
          <t>European; United States</t>
        </is>
      </c>
      <c r="K120" t="inlineStr">
        <is>
          <t>C2:landmarks</t>
        </is>
      </c>
    </row>
    <row r="121">
      <c r="A121" t="inlineStr">
        <is>
          <t>LM00278</t>
        </is>
      </c>
      <c r="B121" t="inlineStr">
        <is>
          <t>C2</t>
        </is>
      </c>
      <c r="C121" t="inlineStr">
        <is>
          <t>The Evolution of City-as-a-Platform: Smart Urban Development Governance with Collective Knowledge-Based Platform Urbanism</t>
        </is>
      </c>
      <c r="D121" t="n">
        <v>2021</v>
      </c>
      <c r="E121" t="inlineStr">
        <is>
          <t>Palmyra Farinazzo Reis Repette; Jamile Sabatini‐Marques; Tan Yiğitcanlar; Denílson Sell; Eduardo Costa</t>
        </is>
      </c>
      <c r="F121" t="inlineStr">
        <is>
          <t>Land</t>
        </is>
      </c>
      <c r="G121" t="n">
        <v>94</v>
      </c>
      <c r="H121" t="inlineStr">
        <is>
          <t>10.3390/land10010033</t>
        </is>
      </c>
      <c r="I121" t="inlineStr">
        <is>
          <t>Not place-specific</t>
        </is>
      </c>
      <c r="J121" t="inlineStr"/>
      <c r="K121" t="inlineStr">
        <is>
          <t>C2:landmarks</t>
        </is>
      </c>
    </row>
    <row r="122">
      <c r="A122" t="inlineStr">
        <is>
          <t>LM00279</t>
        </is>
      </c>
      <c r="B122" t="inlineStr">
        <is>
          <t>C2</t>
        </is>
      </c>
      <c r="C122" t="inlineStr">
        <is>
          <t>Navigating platform urbanism</t>
        </is>
      </c>
      <c r="D122" t="n">
        <v>2018</v>
      </c>
      <c r="E122" t="inlineStr">
        <is>
          <t>Shenja van der Graaf; Pieter Ballon</t>
        </is>
      </c>
      <c r="F122" t="inlineStr">
        <is>
          <t>Technological Forecasting and Social Change</t>
        </is>
      </c>
      <c r="G122" t="n">
        <v>92</v>
      </c>
      <c r="H122" t="inlineStr">
        <is>
          <t>10.1016/j.techfore.2018.07.027</t>
        </is>
      </c>
      <c r="I122" t="inlineStr">
        <is>
          <t>Not place-specific</t>
        </is>
      </c>
      <c r="J122" t="inlineStr"/>
      <c r="K122" t="inlineStr">
        <is>
          <t>C2:landmarks</t>
        </is>
      </c>
    </row>
    <row r="123">
      <c r="A123" t="inlineStr">
        <is>
          <t>LM00280</t>
        </is>
      </c>
      <c r="B123" t="inlineStr">
        <is>
          <t>C2</t>
        </is>
      </c>
      <c r="C123" t="inlineStr">
        <is>
          <t>Platform governance and the rural–urban divide: Sellers' responses to design change</t>
        </is>
      </c>
      <c r="D123" t="n">
        <v>2020</v>
      </c>
      <c r="E123" t="inlineStr">
        <is>
          <t>Wesley Wu-Yi Koo; Charles Eric Eesley</t>
        </is>
      </c>
      <c r="F123" t="inlineStr">
        <is>
          <t>Strategic Management Journal</t>
        </is>
      </c>
      <c r="G123" t="n">
        <v>92</v>
      </c>
      <c r="H123" t="inlineStr">
        <is>
          <t>10.1002/smj.3259</t>
        </is>
      </c>
      <c r="I123" t="inlineStr">
        <is>
          <t>Not place-specific</t>
        </is>
      </c>
      <c r="J123" t="inlineStr"/>
      <c r="K123" t="inlineStr">
        <is>
          <t>C2:landmarks</t>
        </is>
      </c>
    </row>
    <row r="124">
      <c r="A124" t="inlineStr">
        <is>
          <t>LM00281</t>
        </is>
      </c>
      <c r="B124" t="inlineStr">
        <is>
          <t>C2</t>
        </is>
      </c>
      <c r="C124" t="inlineStr">
        <is>
          <t>Urbanism Under Google: Lessons from Sidewalk Toronto</t>
        </is>
      </c>
      <c r="D124" t="n">
        <v>2019</v>
      </c>
      <c r="E124" t="inlineStr">
        <is>
          <t>Ellen Goodman; Julia Powles</t>
        </is>
      </c>
      <c r="F124" t="inlineStr">
        <is>
          <t>SSRN Electronic Journal</t>
        </is>
      </c>
      <c r="G124" t="n">
        <v>91</v>
      </c>
      <c r="H124" t="inlineStr">
        <is>
          <t>10.2139/ssrn.3390610</t>
        </is>
      </c>
      <c r="I124" t="inlineStr">
        <is>
          <t>Global North</t>
        </is>
      </c>
      <c r="J124" t="inlineStr">
        <is>
          <t>Toronto</t>
        </is>
      </c>
      <c r="K124" t="inlineStr">
        <is>
          <t>C2:landmarks</t>
        </is>
      </c>
    </row>
    <row r="125">
      <c r="A125" t="inlineStr">
        <is>
          <t>LM00282</t>
        </is>
      </c>
      <c r="B125" t="inlineStr">
        <is>
          <t>C2</t>
        </is>
      </c>
      <c r="C125" t="inlineStr">
        <is>
          <t>Understanding Sensor Cities: Insights from Technology Giant Company Driven Smart Urbanism Practices</t>
        </is>
      </c>
      <c r="D125" t="n">
        <v>2020</v>
      </c>
      <c r="E125" t="inlineStr">
        <is>
          <t>Gaspare D’Amico; Pasqua L’Abbate; Wenjie Liao; Tan Yiğitcanlar; Giuseppe Ioppolo</t>
        </is>
      </c>
      <c r="F125" t="inlineStr">
        <is>
          <t>Sensors</t>
        </is>
      </c>
      <c r="G125" t="n">
        <v>88</v>
      </c>
      <c r="H125" t="inlineStr">
        <is>
          <t>10.3390/s20164391</t>
        </is>
      </c>
      <c r="I125" t="inlineStr">
        <is>
          <t>Not place-specific</t>
        </is>
      </c>
      <c r="J125" t="inlineStr"/>
      <c r="K125" t="inlineStr">
        <is>
          <t>C2:landmarks</t>
        </is>
      </c>
    </row>
    <row r="126">
      <c r="A126" t="inlineStr">
        <is>
          <t>LM00283</t>
        </is>
      </c>
      <c r="B126" t="inlineStr">
        <is>
          <t>C2</t>
        </is>
      </c>
      <c r="C126" t="inlineStr">
        <is>
          <t>Platform urbanism, smartphone applications and valuing data in a smart city</t>
        </is>
      </c>
      <c r="D126" t="n">
        <v>2020</v>
      </c>
      <c r="E126" t="inlineStr">
        <is>
          <t>Gillian Rose; Parvati Raghuram; Sophie Watson; Edward Wigley</t>
        </is>
      </c>
      <c r="F126" t="inlineStr">
        <is>
          <t>Transactions of the Institute of British Geographers</t>
        </is>
      </c>
      <c r="G126" t="n">
        <v>86</v>
      </c>
      <c r="H126" t="inlineStr">
        <is>
          <t>10.1111/tran.12400</t>
        </is>
      </c>
      <c r="I126" t="inlineStr">
        <is>
          <t>Global North</t>
        </is>
      </c>
      <c r="J126" t="inlineStr">
        <is>
          <t>Milton Keynes; United Kingdom</t>
        </is>
      </c>
      <c r="K126" t="inlineStr">
        <is>
          <t>C2:landmarks</t>
        </is>
      </c>
    </row>
    <row r="127">
      <c r="A127" t="inlineStr">
        <is>
          <t>LM00284</t>
        </is>
      </c>
      <c r="B127" t="inlineStr">
        <is>
          <t>C2</t>
        </is>
      </c>
      <c r="C127" t="inlineStr">
        <is>
          <t>Biopolitical platforms: the perverse virtues of digital labour</t>
        </is>
      </c>
      <c r="D127" t="n">
        <v>2021</v>
      </c>
      <c r="E127" t="inlineStr">
        <is>
          <t>Karen Gregory; Jathan Sadowski</t>
        </is>
      </c>
      <c r="F127" t="inlineStr">
        <is>
          <t>Journal of Cultural Economy</t>
        </is>
      </c>
      <c r="G127" t="n">
        <v>85</v>
      </c>
      <c r="H127" t="inlineStr">
        <is>
          <t>10.1080/17530350.2021.1901766</t>
        </is>
      </c>
      <c r="I127" t="inlineStr">
        <is>
          <t>Not place-specific</t>
        </is>
      </c>
      <c r="J127" t="inlineStr"/>
      <c r="K127" t="inlineStr">
        <is>
          <t>C2:landmarks</t>
        </is>
      </c>
    </row>
    <row r="128">
      <c r="A128" t="inlineStr">
        <is>
          <t>LM00285</t>
        </is>
      </c>
      <c r="B128" t="inlineStr">
        <is>
          <t>C2</t>
        </is>
      </c>
      <c r="C128" t="inlineStr">
        <is>
          <t># BlockSidewalk to Barcelona: Technological sovereignty and the social license to operate smart cities</t>
        </is>
      </c>
      <c r="D128" t="n">
        <v>2020</v>
      </c>
      <c r="E128" t="inlineStr">
        <is>
          <t>Monique Mann; Peta Mitchell; Marcus Foth; Irina Anastasiu</t>
        </is>
      </c>
      <c r="F128" t="inlineStr">
        <is>
          <t>Journal of the Association for Information Science and Technology</t>
        </is>
      </c>
      <c r="G128" t="n">
        <v>84</v>
      </c>
      <c r="H128" t="inlineStr">
        <is>
          <t>10.1002/asi.24387</t>
        </is>
      </c>
      <c r="I128" t="inlineStr">
        <is>
          <t>Global North</t>
        </is>
      </c>
      <c r="J128" t="inlineStr">
        <is>
          <t>Barcelona; Toronto</t>
        </is>
      </c>
      <c r="K128" t="inlineStr">
        <is>
          <t>C2:landmarks</t>
        </is>
      </c>
    </row>
    <row r="129">
      <c r="A129" t="inlineStr">
        <is>
          <t>LM00286</t>
        </is>
      </c>
      <c r="B129" t="inlineStr">
        <is>
          <t>C2</t>
        </is>
      </c>
      <c r="C129" t="inlineStr">
        <is>
          <t>Platform-mediated short-term rentals and gentrification in Madrid</t>
        </is>
      </c>
      <c r="D129" t="n">
        <v>2020</v>
      </c>
      <c r="E129" t="inlineStr">
        <is>
          <t>Álvaro Ardura Urquiaga; Iñigo Lorente Riverola; Javier Ruiz Sánchez</t>
        </is>
      </c>
      <c r="F129" t="inlineStr">
        <is>
          <t>Urban Studies</t>
        </is>
      </c>
      <c r="G129" t="n">
        <v>77</v>
      </c>
      <c r="H129" t="inlineStr">
        <is>
          <t>10.1177/0042098020918154</t>
        </is>
      </c>
      <c r="I129" t="inlineStr">
        <is>
          <t>Global North</t>
        </is>
      </c>
      <c r="J129" t="inlineStr">
        <is>
          <t>European; Madrid</t>
        </is>
      </c>
      <c r="K129" t="inlineStr">
        <is>
          <t>C2:landmarks</t>
        </is>
      </c>
    </row>
    <row r="130">
      <c r="A130" t="inlineStr">
        <is>
          <t>LM00287</t>
        </is>
      </c>
      <c r="B130" t="inlineStr">
        <is>
          <t>C2</t>
        </is>
      </c>
      <c r="C130" t="inlineStr">
        <is>
          <t>Short-term rentals as digitally-mediated tourism gentrification: impacts on housing in New Orleans</t>
        </is>
      </c>
      <c r="D130" t="n">
        <v>2020</v>
      </c>
      <c r="E130" t="inlineStr">
        <is>
          <t>Dustin Robertson; Christopher Oliver; Eric Nost</t>
        </is>
      </c>
      <c r="F130" t="inlineStr">
        <is>
          <t>Tourism Geographies</t>
        </is>
      </c>
      <c r="G130" t="n">
        <v>76</v>
      </c>
      <c r="H130" t="inlineStr">
        <is>
          <t>10.1080/14616688.2020.1765011</t>
        </is>
      </c>
      <c r="I130" t="inlineStr">
        <is>
          <t>Global North</t>
        </is>
      </c>
      <c r="J130" t="inlineStr">
        <is>
          <t>New Orleans</t>
        </is>
      </c>
      <c r="K130" t="inlineStr">
        <is>
          <t>C2:landmarks</t>
        </is>
      </c>
    </row>
    <row r="131">
      <c r="A131" t="inlineStr">
        <is>
          <t>LM00288</t>
        </is>
      </c>
      <c r="B131" t="inlineStr">
        <is>
          <t>C2</t>
        </is>
      </c>
      <c r="C131" t="inlineStr">
        <is>
          <t>Mapping Platform Urbanism: Charting the Nuance of the Platform Pivot</t>
        </is>
      </c>
      <c r="D131" t="n">
        <v>2020</v>
      </c>
      <c r="E131" t="inlineStr">
        <is>
          <t>Ashlin Lee; Adrian Mackenzie; Gavin J. D. Smith; Paul J. Box</t>
        </is>
      </c>
      <c r="F131" t="inlineStr">
        <is>
          <t>Urban Planning</t>
        </is>
      </c>
      <c r="G131" t="n">
        <v>75</v>
      </c>
      <c r="H131" t="inlineStr">
        <is>
          <t>10.17645/up.v5i1.2545</t>
        </is>
      </c>
      <c r="I131" t="inlineStr">
        <is>
          <t>Not place-specific</t>
        </is>
      </c>
      <c r="J131" t="inlineStr"/>
      <c r="K131" t="inlineStr">
        <is>
          <t>C2:landmarks</t>
        </is>
      </c>
    </row>
    <row r="132">
      <c r="A132" t="inlineStr">
        <is>
          <t>LM00289</t>
        </is>
      </c>
      <c r="B132" t="inlineStr">
        <is>
          <t>C2</t>
        </is>
      </c>
      <c r="C132" t="inlineStr">
        <is>
          <t>Emerging platform urbanism in China: Reconfigurations of data, citizenship and materialities</t>
        </is>
      </c>
      <c r="D132" t="n">
        <v>2019</v>
      </c>
      <c r="E132" t="inlineStr">
        <is>
          <t>Federico Caprotti; Dong Liu</t>
        </is>
      </c>
      <c r="F132" t="inlineStr">
        <is>
          <t>Technological Forecasting and Social Change</t>
        </is>
      </c>
      <c r="G132" t="n">
        <v>72</v>
      </c>
      <c r="H132" t="inlineStr">
        <is>
          <t>10.1016/j.techfore.2019.06.016</t>
        </is>
      </c>
      <c r="I132" t="inlineStr">
        <is>
          <t>China &amp; East Asia</t>
        </is>
      </c>
      <c r="J132" t="inlineStr">
        <is>
          <t>China</t>
        </is>
      </c>
      <c r="K132" t="inlineStr">
        <is>
          <t>C2:landmarks</t>
        </is>
      </c>
    </row>
  </sheetData>
  <mergeCells count="1">
    <mergeCell ref="A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46"/>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60" customWidth="1" min="3" max="3"/>
    <col width="7" customWidth="1" min="4" max="4"/>
    <col width="30" customWidth="1" min="5" max="5"/>
    <col width="28" customWidth="1" min="6" max="6"/>
    <col width="9" customWidth="1" min="7" max="7"/>
    <col width="26" customWidth="1" min="8" max="8"/>
    <col width="16" customWidth="1" min="9" max="9"/>
    <col width="22" customWidth="1" min="10" max="10"/>
    <col width="26" customWidth="1" min="11" max="11"/>
    <col width="30" customWidth="1" min="12" max="12"/>
    <col width="30" customWidth="1" min="13" max="13"/>
  </cols>
  <sheetData>
    <row r="1" ht="32" customHeight="1">
      <c r="A1" s="2" t="inlineStr">
        <is>
          <t>Records whose title/abstract name India or an Indian place (Delhi/NCR and Haryana flags in the extra columns).</t>
        </is>
      </c>
    </row>
    <row r="2">
      <c r="A2" s="4" t="inlineStr">
        <is>
          <t>ID</t>
        </is>
      </c>
      <c r="B2" s="4" t="inlineStr">
        <is>
          <t>Primary theme</t>
        </is>
      </c>
      <c r="C2" s="4" t="inlineStr">
        <is>
          <t>Title</t>
        </is>
      </c>
      <c r="D2" s="4" t="inlineStr">
        <is>
          <t>Year</t>
        </is>
      </c>
      <c r="E2" s="4" t="inlineStr">
        <is>
          <t>Authors</t>
        </is>
      </c>
      <c r="F2" s="4" t="inlineStr">
        <is>
          <t>Venue</t>
        </is>
      </c>
      <c r="G2" s="4" t="inlineStr">
        <is>
          <t>Cited-by count</t>
        </is>
      </c>
      <c r="H2" s="4" t="inlineStr">
        <is>
          <t>DOI</t>
        </is>
      </c>
      <c r="I2" s="4" t="inlineStr">
        <is>
          <t>Region</t>
        </is>
      </c>
      <c r="J2" s="4" t="inlineStr">
        <is>
          <t>Places studied</t>
        </is>
      </c>
      <c r="K2" s="4" t="inlineStr">
        <is>
          <t>Found in</t>
        </is>
      </c>
      <c r="L2" s="4" t="inlineStr">
        <is>
          <t>Delhi/NCR flag</t>
        </is>
      </c>
      <c r="M2" s="4" t="inlineStr">
        <is>
          <t>Haryana flag</t>
        </is>
      </c>
    </row>
    <row r="3">
      <c r="A3" t="inlineStr">
        <is>
          <t>LM00092</t>
        </is>
      </c>
      <c r="B3" t="inlineStr">
        <is>
          <t>A9</t>
        </is>
      </c>
      <c r="C3" t="inlineStr">
        <is>
          <t>Street vending as urban inhabitation: materialities, epistemes, and city-making in Karachi and Mumbai</t>
        </is>
      </c>
      <c r="D3" t="n">
        <v>2026</v>
      </c>
      <c r="E3" t="inlineStr">
        <is>
          <t>Aseela Haque; Saanchi Saxena</t>
        </is>
      </c>
      <c r="F3" t="inlineStr">
        <is>
          <t>City</t>
        </is>
      </c>
      <c r="G3" t="n">
        <v>1</v>
      </c>
      <c r="H3" t="inlineStr">
        <is>
          <t>10.1080/13604813.2025.2601408</t>
        </is>
      </c>
      <c r="I3" t="inlineStr">
        <is>
          <t>South Asia</t>
        </is>
      </c>
      <c r="J3" t="inlineStr">
        <is>
          <t>India; Karachi; Mumbai; Pakistan</t>
        </is>
      </c>
      <c r="K3" t="inlineStr">
        <is>
          <t>A9:india</t>
        </is>
      </c>
      <c r="L3" t="inlineStr"/>
      <c r="M3" t="inlineStr"/>
    </row>
    <row r="4">
      <c r="A4" t="inlineStr">
        <is>
          <t>LM00114</t>
        </is>
      </c>
      <c r="B4" t="inlineStr">
        <is>
          <t>A9</t>
        </is>
      </c>
      <c r="C4" t="inlineStr">
        <is>
          <t>Street Vending and the Right to the City</t>
        </is>
      </c>
      <c r="D4" t="n">
        <v>2026</v>
      </c>
      <c r="E4" t="inlineStr">
        <is>
          <t>Amy Schoenecker</t>
        </is>
      </c>
      <c r="F4" t="inlineStr">
        <is>
          <t>Routledge eBooks</t>
        </is>
      </c>
      <c r="G4" t="n">
        <v>0</v>
      </c>
      <c r="H4" t="inlineStr">
        <is>
          <t>10.4324/9781003605980</t>
        </is>
      </c>
      <c r="I4" t="inlineStr">
        <is>
          <t>Multi-region</t>
        </is>
      </c>
      <c r="J4" t="inlineStr">
        <is>
          <t>Chicago; Mumbai; New York; Uruguay</t>
        </is>
      </c>
      <c r="K4" t="inlineStr">
        <is>
          <t>A9:india</t>
        </is>
      </c>
      <c r="L4" t="inlineStr"/>
      <c r="M4" t="inlineStr"/>
    </row>
    <row r="5">
      <c r="A5" t="inlineStr">
        <is>
          <t>LM00116</t>
        </is>
      </c>
      <c r="B5" t="inlineStr">
        <is>
          <t>A9</t>
        </is>
      </c>
      <c r="C5" t="inlineStr">
        <is>
          <t>Hawkers, Footpaths and the City: Informality, Urban Space, and Life in Kolkata</t>
        </is>
      </c>
      <c r="D5" t="n">
        <v>2026</v>
      </c>
      <c r="E5" t="inlineStr">
        <is>
          <t>Madhumita Roy</t>
        </is>
      </c>
      <c r="F5" t="inlineStr">
        <is>
          <t>International Journal of Science and Research (IJSR)</t>
        </is>
      </c>
      <c r="G5" t="n">
        <v>0</v>
      </c>
      <c r="H5" t="inlineStr">
        <is>
          <t>10.21275/sr26612122147</t>
        </is>
      </c>
      <c r="I5" t="inlineStr">
        <is>
          <t>South Asia</t>
        </is>
      </c>
      <c r="J5" t="inlineStr">
        <is>
          <t>Kolkata</t>
        </is>
      </c>
      <c r="K5" t="inlineStr">
        <is>
          <t>A9:india</t>
        </is>
      </c>
      <c r="L5" t="inlineStr"/>
      <c r="M5" t="inlineStr"/>
    </row>
    <row r="6">
      <c r="A6" t="inlineStr">
        <is>
          <t>LM00118</t>
        </is>
      </c>
      <c r="B6" t="inlineStr">
        <is>
          <t>A9</t>
        </is>
      </c>
      <c r="C6" t="inlineStr">
        <is>
          <t>Decoding the role of graffiti and street art as a safety tool in public spaces of Bengaluru, India</t>
        </is>
      </c>
      <c r="D6" t="n">
        <v>2026</v>
      </c>
      <c r="E6" t="inlineStr">
        <is>
          <t>Cecon Swain</t>
        </is>
      </c>
      <c r="F6" t="inlineStr">
        <is>
          <t>Proceedings of the international conference of contemporary affairs in architecture and urbanism-ICCAUA.</t>
        </is>
      </c>
      <c r="G6" t="n">
        <v>0</v>
      </c>
      <c r="H6" t="inlineStr">
        <is>
          <t>10.38027/iccaua2026en0376</t>
        </is>
      </c>
      <c r="I6" t="inlineStr">
        <is>
          <t>South Asia</t>
        </is>
      </c>
      <c r="J6" t="inlineStr">
        <is>
          <t>Bengaluru; India</t>
        </is>
      </c>
      <c r="K6" t="inlineStr">
        <is>
          <t>A9:india</t>
        </is>
      </c>
      <c r="L6" t="inlineStr"/>
      <c r="M6" t="inlineStr"/>
    </row>
    <row r="7">
      <c r="A7" t="inlineStr">
        <is>
          <t>LM00121</t>
        </is>
      </c>
      <c r="B7" t="inlineStr">
        <is>
          <t>A9</t>
        </is>
      </c>
      <c r="C7" t="inlineStr">
        <is>
          <t>The City Through Her Eyes: Gender-Based Harassment in Public Spaces in Urban India</t>
        </is>
      </c>
      <c r="D7" t="n">
        <v>2026</v>
      </c>
      <c r="E7" t="inlineStr">
        <is>
          <t>Lori A. Beaman; Seema Jayachandran; Anisha Sharma</t>
        </is>
      </c>
      <c r="F7" t="inlineStr">
        <is>
          <t>National Bureau of Economic Research</t>
        </is>
      </c>
      <c r="G7" t="n">
        <v>0</v>
      </c>
      <c r="H7" t="inlineStr">
        <is>
          <t>10.3386/w35738</t>
        </is>
      </c>
      <c r="I7" t="inlineStr">
        <is>
          <t>South Asia</t>
        </is>
      </c>
      <c r="J7" t="inlineStr">
        <is>
          <t>Bengaluru; India; New Delhi</t>
        </is>
      </c>
      <c r="K7" t="inlineStr">
        <is>
          <t>A9:india</t>
        </is>
      </c>
      <c r="L7" t="inlineStr">
        <is>
          <t>Y</t>
        </is>
      </c>
      <c r="M7" t="inlineStr"/>
    </row>
    <row r="8">
      <c r="A8" t="inlineStr">
        <is>
          <t>LM00091</t>
        </is>
      </c>
      <c r="B8" t="inlineStr">
        <is>
          <t>A9</t>
        </is>
      </c>
      <c r="C8" t="inlineStr">
        <is>
          <t>‘No Place for us on Footpaths’: Exploring Walkability Challenges of Older Men in India and Bangladesh</t>
        </is>
      </c>
      <c r="D8" t="n">
        <v>2025</v>
      </c>
      <c r="E8" t="inlineStr">
        <is>
          <t>Ajay Bailey; Selim Jahangir; Prajwal Nagesh</t>
        </is>
      </c>
      <c r="F8" t="inlineStr">
        <is>
          <t>Tijdschrift voor Economische en Sociale Geografie</t>
        </is>
      </c>
      <c r="G8" t="n">
        <v>1</v>
      </c>
      <c r="H8" t="inlineStr">
        <is>
          <t>10.1111/tesg.70034</t>
        </is>
      </c>
      <c r="I8" t="inlineStr">
        <is>
          <t>South Asia</t>
        </is>
      </c>
      <c r="J8" t="inlineStr">
        <is>
          <t>Bangladesh; Bengaluru; Dhaka; India</t>
        </is>
      </c>
      <c r="K8" t="inlineStr">
        <is>
          <t>A9:india</t>
        </is>
      </c>
      <c r="L8" t="inlineStr"/>
      <c r="M8" t="inlineStr"/>
    </row>
    <row r="9">
      <c r="A9" t="inlineStr">
        <is>
          <t>LM00110</t>
        </is>
      </c>
      <c r="B9" t="inlineStr">
        <is>
          <t>A9</t>
        </is>
      </c>
      <c r="C9" t="inlineStr">
        <is>
          <t>Rethinking ‘Aesthetic Environments’ in Cities: Politics, Resistance, and Informal Street Vending in Kolkata, West Bengal</t>
        </is>
      </c>
      <c r="D9" t="n">
        <v>2025</v>
      </c>
      <c r="E9" t="inlineStr">
        <is>
          <t>Madhubarna Dhar; Amrita Sen; Archana Patnaik</t>
        </is>
      </c>
      <c r="F9" t="inlineStr">
        <is>
          <t>Proceedings of The World Conference on Social Sciences</t>
        </is>
      </c>
      <c r="G9" t="n">
        <v>0</v>
      </c>
      <c r="H9" t="inlineStr">
        <is>
          <t>10.33422/worldcss.v4i1.1213</t>
        </is>
      </c>
      <c r="I9" t="inlineStr">
        <is>
          <t>South Asia</t>
        </is>
      </c>
      <c r="J9" t="inlineStr">
        <is>
          <t>India; Kolkata; South Asia; West Bengal</t>
        </is>
      </c>
      <c r="K9" t="inlineStr">
        <is>
          <t>A9:india</t>
        </is>
      </c>
      <c r="L9" t="inlineStr"/>
      <c r="M9" t="inlineStr"/>
    </row>
    <row r="10">
      <c r="A10" t="inlineStr">
        <is>
          <t>LM00089</t>
        </is>
      </c>
      <c r="B10" t="inlineStr">
        <is>
          <t>A9</t>
        </is>
      </c>
      <c r="C10" t="inlineStr">
        <is>
          <t>Assessing the Degree of Publicness in Streets</t>
        </is>
      </c>
      <c r="D10" t="n">
        <v>2024</v>
      </c>
      <c r="E10" t="inlineStr">
        <is>
          <t>Sandeep Paul</t>
        </is>
      </c>
      <c r="F10" t="inlineStr">
        <is>
          <t>Proceedings of the international conference of contemporary affairs in architecture and urbanism-ICCAUA.</t>
        </is>
      </c>
      <c r="G10" t="n">
        <v>1</v>
      </c>
      <c r="H10" t="inlineStr">
        <is>
          <t>10.38027/iccaua2024in0302</t>
        </is>
      </c>
      <c r="I10" t="inlineStr">
        <is>
          <t>South Asia</t>
        </is>
      </c>
      <c r="J10" t="inlineStr">
        <is>
          <t>India</t>
        </is>
      </c>
      <c r="K10" t="inlineStr">
        <is>
          <t>A9:india; A9:recent</t>
        </is>
      </c>
      <c r="L10" t="inlineStr"/>
      <c r="M10" t="inlineStr"/>
    </row>
    <row r="11">
      <c r="A11" t="inlineStr">
        <is>
          <t>LM00106</t>
        </is>
      </c>
      <c r="B11" t="inlineStr">
        <is>
          <t>A9</t>
        </is>
      </c>
      <c r="C11" t="inlineStr">
        <is>
          <t>Reclaiming Public Spaces in Post-pandemic India (Kolkata): Activist Theatre, Gender and a Resurgence of the Marginal</t>
        </is>
      </c>
      <c r="D11" t="n">
        <v>2024</v>
      </c>
      <c r="E11" t="inlineStr">
        <is>
          <t>AHVANA PAUL; Tamalika Roy; Sumit Mondal; S. C. Biswas</t>
        </is>
      </c>
      <c r="F11" t="inlineStr">
        <is>
          <t>Theatre Research International</t>
        </is>
      </c>
      <c r="G11" t="n">
        <v>0</v>
      </c>
      <c r="H11" t="inlineStr">
        <is>
          <t>10.1017/s0307883323000421</t>
        </is>
      </c>
      <c r="I11" t="inlineStr">
        <is>
          <t>South Asia</t>
        </is>
      </c>
      <c r="J11" t="inlineStr">
        <is>
          <t>India; Kolkata</t>
        </is>
      </c>
      <c r="K11" t="inlineStr">
        <is>
          <t>A9:india</t>
        </is>
      </c>
      <c r="L11" t="inlineStr"/>
      <c r="M11" t="inlineStr"/>
    </row>
    <row r="12">
      <c r="A12" t="inlineStr">
        <is>
          <t>LM00107</t>
        </is>
      </c>
      <c r="B12" t="inlineStr">
        <is>
          <t>A9</t>
        </is>
      </c>
      <c r="C12" t="inlineStr">
        <is>
          <t>CRAFTING INDIAN MARKETS: THE ART OF BLURRING THE BOUNDARIES OF PUBLICNESS CASE OF DELHI</t>
        </is>
      </c>
      <c r="D12" t="n">
        <v>2024</v>
      </c>
      <c r="E12" t="inlineStr">
        <is>
          <t>Pankaj Chhabra; Simranpreet Kaur</t>
        </is>
      </c>
      <c r="F12" t="inlineStr">
        <is>
          <t>ShodhKosh Journal of Visual and Performing Arts</t>
        </is>
      </c>
      <c r="G12" t="n">
        <v>0</v>
      </c>
      <c r="H12" t="inlineStr">
        <is>
          <t>10.29121/shodhkosh.v5.i1.2024.1030</t>
        </is>
      </c>
      <c r="I12" t="inlineStr">
        <is>
          <t>South Asia</t>
        </is>
      </c>
      <c r="J12" t="inlineStr">
        <is>
          <t>Delhi; India</t>
        </is>
      </c>
      <c r="K12" t="inlineStr">
        <is>
          <t>A9:india; A9:recent</t>
        </is>
      </c>
      <c r="L12" t="inlineStr">
        <is>
          <t>Y</t>
        </is>
      </c>
      <c r="M12" t="inlineStr"/>
    </row>
    <row r="13">
      <c r="A13" t="inlineStr">
        <is>
          <t>LM00129</t>
        </is>
      </c>
      <c r="B13" t="inlineStr">
        <is>
          <t>A9</t>
        </is>
      </c>
      <c r="C13" t="inlineStr">
        <is>
          <t>Public Spaces and Street Vendors in Mumbai A Theoretical Understanding of Urban Reciprocity</t>
        </is>
      </c>
      <c r="D13" t="n">
        <v>2024</v>
      </c>
      <c r="E13" t="inlineStr">
        <is>
          <t>Urvashi Purohit; Mayuresh Gorey</t>
        </is>
      </c>
      <c r="F13" t="inlineStr">
        <is>
          <t>Zenodo (CERN European Organization for Nuclear Research)</t>
        </is>
      </c>
      <c r="G13" t="n">
        <v>0</v>
      </c>
      <c r="H13" t="inlineStr">
        <is>
          <t>10.5281/zenodo.20117433</t>
        </is>
      </c>
      <c r="I13" t="inlineStr">
        <is>
          <t>South Asia</t>
        </is>
      </c>
      <c r="J13" t="inlineStr">
        <is>
          <t>India; Mumbai</t>
        </is>
      </c>
      <c r="K13" t="inlineStr">
        <is>
          <t>A9:india</t>
        </is>
      </c>
      <c r="L13" t="inlineStr"/>
      <c r="M13" t="inlineStr"/>
    </row>
    <row r="14">
      <c r="A14" t="inlineStr">
        <is>
          <t>LM00077</t>
        </is>
      </c>
      <c r="B14" t="inlineStr">
        <is>
          <t>A9</t>
        </is>
      </c>
      <c r="C14" t="inlineStr">
        <is>
          <t>Unpacking Urban Environmental Visions and Contestations of Street Vendors in Kolkata, West Bengal</t>
        </is>
      </c>
      <c r="D14" t="n">
        <v>2023</v>
      </c>
      <c r="E14" t="inlineStr">
        <is>
          <t>Madhubarna Dhar; Amrita Sen; Archana Patnaik</t>
        </is>
      </c>
      <c r="F14" t="inlineStr">
        <is>
          <t>Global Social Welfare</t>
        </is>
      </c>
      <c r="G14" t="n">
        <v>2</v>
      </c>
      <c r="H14" t="inlineStr">
        <is>
          <t>10.1007/s40609-023-00297-4</t>
        </is>
      </c>
      <c r="I14" t="inlineStr">
        <is>
          <t>South Asia</t>
        </is>
      </c>
      <c r="J14" t="inlineStr">
        <is>
          <t>Kolkata; West Bengal</t>
        </is>
      </c>
      <c r="K14" t="inlineStr">
        <is>
          <t>A9:india</t>
        </is>
      </c>
      <c r="L14" t="inlineStr"/>
      <c r="M14" t="inlineStr"/>
    </row>
    <row r="15">
      <c r="A15" t="inlineStr">
        <is>
          <t>LM00100</t>
        </is>
      </c>
      <c r="B15" t="inlineStr">
        <is>
          <t>A9</t>
        </is>
      </c>
      <c r="C15" t="inlineStr">
        <is>
          <t>Access to Public Spaces in Indian Cities: An Opportunistic Model</t>
        </is>
      </c>
      <c r="D15" t="n">
        <v>2023</v>
      </c>
      <c r="E15" t="inlineStr">
        <is>
          <t>Archana Gaikwad; Utpal Sharma</t>
        </is>
      </c>
      <c r="F15" t="inlineStr">
        <is>
          <t>Routledge eBooks</t>
        </is>
      </c>
      <c r="G15" t="n">
        <v>0</v>
      </c>
      <c r="H15" t="inlineStr">
        <is>
          <t>10.4324/9781003342441-67</t>
        </is>
      </c>
      <c r="I15" t="inlineStr">
        <is>
          <t>South Asia</t>
        </is>
      </c>
      <c r="J15" t="inlineStr">
        <is>
          <t>Ahmedabad; Bangalore; India; Mumbai; Pune</t>
        </is>
      </c>
      <c r="K15" t="inlineStr">
        <is>
          <t>A9:india</t>
        </is>
      </c>
      <c r="L15" t="inlineStr"/>
      <c r="M15" t="inlineStr"/>
    </row>
    <row r="16">
      <c r="A16" t="inlineStr">
        <is>
          <t>LM00060</t>
        </is>
      </c>
      <c r="B16" t="inlineStr">
        <is>
          <t>A9</t>
        </is>
      </c>
      <c r="C16" t="inlineStr">
        <is>
          <t>Simulating the “city of joy”: state choreography and the re-appropriation of public spaces in Kolkata</t>
        </is>
      </c>
      <c r="D16" t="n">
        <v>2022</v>
      </c>
      <c r="E16" t="inlineStr">
        <is>
          <t>Sukanya Chakrabarti</t>
        </is>
      </c>
      <c r="F16" t="inlineStr">
        <is>
          <t>Urban Geography</t>
        </is>
      </c>
      <c r="G16" t="n">
        <v>8</v>
      </c>
      <c r="H16" t="inlineStr">
        <is>
          <t>10.1080/02723638.2022.2044660</t>
        </is>
      </c>
      <c r="I16" t="inlineStr">
        <is>
          <t>South Asia</t>
        </is>
      </c>
      <c r="J16" t="inlineStr">
        <is>
          <t>Kolkata</t>
        </is>
      </c>
      <c r="K16" t="inlineStr">
        <is>
          <t>A9:india</t>
        </is>
      </c>
      <c r="L16" t="inlineStr"/>
      <c r="M16" t="inlineStr"/>
    </row>
    <row r="17">
      <c r="A17" t="inlineStr">
        <is>
          <t>LM00075</t>
        </is>
      </c>
      <c r="B17" t="inlineStr">
        <is>
          <t>A9</t>
        </is>
      </c>
      <c r="C17" t="inlineStr">
        <is>
          <t>Park Politics in a Postcolonial Indian City: Planning (and) Public Space in Bangalore</t>
        </is>
      </c>
      <c r="D17" t="n">
        <v>2022</v>
      </c>
      <c r="E17" t="inlineStr">
        <is>
          <t>Salila Vanka</t>
        </is>
      </c>
      <c r="F17" t="inlineStr">
        <is>
          <t>Built Environment</t>
        </is>
      </c>
      <c r="G17" t="n">
        <v>2</v>
      </c>
      <c r="H17" t="inlineStr">
        <is>
          <t>10.2148/benv.48.2.169</t>
        </is>
      </c>
      <c r="I17" t="inlineStr">
        <is>
          <t>South Asia</t>
        </is>
      </c>
      <c r="J17" t="inlineStr">
        <is>
          <t>Bangalore; India</t>
        </is>
      </c>
      <c r="K17" t="inlineStr">
        <is>
          <t>A9:india</t>
        </is>
      </c>
      <c r="L17" t="inlineStr"/>
      <c r="M17" t="inlineStr"/>
    </row>
    <row r="18">
      <c r="A18" t="inlineStr">
        <is>
          <t>LM00076</t>
        </is>
      </c>
      <c r="B18" t="inlineStr">
        <is>
          <t>A9</t>
        </is>
      </c>
      <c r="C18" t="inlineStr">
        <is>
          <t>'Delhi is a hopeful place for me!': young middle-class women reclaiming the Indian city</t>
        </is>
      </c>
      <c r="D18" t="n">
        <v>2022</v>
      </c>
      <c r="E18" t="inlineStr">
        <is>
          <t>Syeda Jenifa Zahan</t>
        </is>
      </c>
      <c r="F18" t="inlineStr">
        <is>
          <t>Gender Place &amp; Culture</t>
        </is>
      </c>
      <c r="G18" t="n">
        <v>2</v>
      </c>
      <c r="H18" t="inlineStr">
        <is>
          <t>10.1080/0966369x.2022.2124961</t>
        </is>
      </c>
      <c r="I18" t="inlineStr">
        <is>
          <t>South Asia</t>
        </is>
      </c>
      <c r="J18" t="inlineStr">
        <is>
          <t>Delhi; India</t>
        </is>
      </c>
      <c r="K18" t="inlineStr">
        <is>
          <t>A9:india</t>
        </is>
      </c>
      <c r="L18" t="inlineStr">
        <is>
          <t>Y</t>
        </is>
      </c>
      <c r="M18" t="inlineStr"/>
    </row>
    <row r="19">
      <c r="A19" t="inlineStr">
        <is>
          <t>LM00086</t>
        </is>
      </c>
      <c r="B19" t="inlineStr">
        <is>
          <t>A9</t>
        </is>
      </c>
      <c r="C19" t="inlineStr">
        <is>
          <t>Informality and the Production of Publicness in India</t>
        </is>
      </c>
      <c r="D19" t="n">
        <v>2022</v>
      </c>
      <c r="E19" t="inlineStr">
        <is>
          <t>Vikas Mehta</t>
        </is>
      </c>
      <c r="F19" t="inlineStr">
        <is>
          <t>Springer eBooks</t>
        </is>
      </c>
      <c r="G19" t="n">
        <v>1</v>
      </c>
      <c r="H19" t="inlineStr">
        <is>
          <t>10.1007/978-3-030-99926-1_27</t>
        </is>
      </c>
      <c r="I19" t="inlineStr">
        <is>
          <t>South Asia</t>
        </is>
      </c>
      <c r="J19" t="inlineStr">
        <is>
          <t>India</t>
        </is>
      </c>
      <c r="K19" t="inlineStr">
        <is>
          <t>A9:india</t>
        </is>
      </c>
      <c r="L19" t="inlineStr"/>
      <c r="M19" t="inlineStr"/>
    </row>
    <row r="20">
      <c r="A20" t="inlineStr">
        <is>
          <t>LM00098</t>
        </is>
      </c>
      <c r="B20" t="inlineStr">
        <is>
          <t>A9</t>
        </is>
      </c>
      <c r="C20" t="inlineStr">
        <is>
          <t>Compendium of Dimensions for Evaluating Publicness of Public Spaces</t>
        </is>
      </c>
      <c r="D20" t="n">
        <v>2022</v>
      </c>
      <c r="E20" t="inlineStr">
        <is>
          <t>Simranpreet Kaur; Pankaj Chhabra</t>
        </is>
      </c>
      <c r="F20" t="inlineStr">
        <is>
          <t>Civil Engineering and Architecture</t>
        </is>
      </c>
      <c r="G20" t="n">
        <v>0</v>
      </c>
      <c r="H20" t="inlineStr">
        <is>
          <t>10.13189/cea.2023.110113</t>
        </is>
      </c>
      <c r="I20" t="inlineStr">
        <is>
          <t>South Asia</t>
        </is>
      </c>
      <c r="J20" t="inlineStr">
        <is>
          <t>India</t>
        </is>
      </c>
      <c r="K20" t="inlineStr">
        <is>
          <t>A9:recent</t>
        </is>
      </c>
      <c r="L20" t="inlineStr"/>
      <c r="M20" t="inlineStr"/>
    </row>
    <row r="21">
      <c r="A21" t="inlineStr">
        <is>
          <t>LM00047</t>
        </is>
      </c>
      <c r="B21" t="inlineStr">
        <is>
          <t>A9</t>
        </is>
      </c>
      <c r="C21" t="inlineStr">
        <is>
          <t>Safe in the City? Negotiating safety, public space and the male gaze in Kolkata, India</t>
        </is>
      </c>
      <c r="D21" t="n">
        <v>2021</v>
      </c>
      <c r="E21" t="inlineStr">
        <is>
          <t>Sanghamitra Roy; Ajay Bailey</t>
        </is>
      </c>
      <c r="F21" t="inlineStr">
        <is>
          <t>Cities</t>
        </is>
      </c>
      <c r="G21" t="n">
        <v>55</v>
      </c>
      <c r="H21" t="inlineStr">
        <is>
          <t>10.1016/j.cities.2021.103321</t>
        </is>
      </c>
      <c r="I21" t="inlineStr">
        <is>
          <t>South Asia</t>
        </is>
      </c>
      <c r="J21" t="inlineStr">
        <is>
          <t>India; Kolkata</t>
        </is>
      </c>
      <c r="K21" t="inlineStr">
        <is>
          <t>A9:india</t>
        </is>
      </c>
      <c r="L21" t="inlineStr"/>
      <c r="M21" t="inlineStr"/>
    </row>
    <row r="22">
      <c r="A22" t="inlineStr">
        <is>
          <t>LM00097</t>
        </is>
      </c>
      <c r="B22" t="inlineStr">
        <is>
          <t>A9</t>
        </is>
      </c>
      <c r="C22" t="inlineStr">
        <is>
          <t>The Mundane and (Extra)Ordinary Public Spaces in India: Examining the Impact of the COVID-19 Pandemic Through an Everyday Lens in Chennai City</t>
        </is>
      </c>
      <c r="D22" t="n">
        <v>2021</v>
      </c>
      <c r="E22" t="inlineStr">
        <is>
          <t>Lakshmi Priya Rajendran; Aamstrong Anjumuthu</t>
        </is>
      </c>
      <c r="F22" t="inlineStr">
        <is>
          <t>Policy Press eBooks</t>
        </is>
      </c>
      <c r="G22" t="n">
        <v>0</v>
      </c>
      <c r="H22" t="inlineStr">
        <is>
          <t>10.1332/policypress/9781529219005.003.0014</t>
        </is>
      </c>
      <c r="I22" t="inlineStr">
        <is>
          <t>South Asia</t>
        </is>
      </c>
      <c r="J22" t="inlineStr">
        <is>
          <t>Chennai; India</t>
        </is>
      </c>
      <c r="K22" t="inlineStr">
        <is>
          <t>A9:india</t>
        </is>
      </c>
      <c r="L22" t="inlineStr"/>
      <c r="M22" t="inlineStr"/>
    </row>
    <row r="23">
      <c r="A23" t="inlineStr">
        <is>
          <t>LM00049</t>
        </is>
      </c>
      <c r="B23" t="inlineStr">
        <is>
          <t>A9</t>
        </is>
      </c>
      <c r="C23" t="inlineStr">
        <is>
          <t>Defending Frivolous Fun: Feminist Acts of Claiming Public Spaces in South Asia</t>
        </is>
      </c>
      <c r="D23" t="n">
        <v>2020</v>
      </c>
      <c r="E23" t="inlineStr">
        <is>
          <t>Shilpa Phadke</t>
        </is>
      </c>
      <c r="F23" t="inlineStr">
        <is>
          <t>South Asia Journal of South Asian Studies</t>
        </is>
      </c>
      <c r="G23" t="n">
        <v>36</v>
      </c>
      <c r="H23" t="inlineStr">
        <is>
          <t>10.1080/00856401.2020.1703245</t>
        </is>
      </c>
      <c r="I23" t="inlineStr">
        <is>
          <t>South Asia</t>
        </is>
      </c>
      <c r="J23" t="inlineStr">
        <is>
          <t>India; Pakistan; South Asia</t>
        </is>
      </c>
      <c r="K23" t="inlineStr">
        <is>
          <t>A9:india</t>
        </is>
      </c>
      <c r="L23" t="inlineStr"/>
      <c r="M23" t="inlineStr"/>
    </row>
    <row r="24">
      <c r="A24" t="inlineStr">
        <is>
          <t>LM00046</t>
        </is>
      </c>
      <c r="B24" t="inlineStr">
        <is>
          <t>A9</t>
        </is>
      </c>
      <c r="C24" t="inlineStr">
        <is>
          <t>Women’s Safety and Public Spaces: Lessons from the Sabarmati Riverfront, India</t>
        </is>
      </c>
      <c r="D24" t="n">
        <v>2019</v>
      </c>
      <c r="E24" t="inlineStr">
        <is>
          <t>Darshini Mahadevia; Saumya Lathia</t>
        </is>
      </c>
      <c r="F24" t="inlineStr">
        <is>
          <t>Urban Planning</t>
        </is>
      </c>
      <c r="G24" t="n">
        <v>55</v>
      </c>
      <c r="H24" t="inlineStr">
        <is>
          <t>10.17645/up.v4i2.2049</t>
        </is>
      </c>
      <c r="I24" t="inlineStr">
        <is>
          <t>South Asia</t>
        </is>
      </c>
      <c r="J24" t="inlineStr">
        <is>
          <t>Ahmedabad; India</t>
        </is>
      </c>
      <c r="K24" t="inlineStr">
        <is>
          <t>A9:india</t>
        </is>
      </c>
      <c r="L24" t="inlineStr"/>
      <c r="M24" t="inlineStr"/>
    </row>
    <row r="25">
      <c r="A25" t="inlineStr">
        <is>
          <t>LM00048</t>
        </is>
      </c>
      <c r="B25" t="inlineStr">
        <is>
          <t>A9</t>
        </is>
      </c>
      <c r="C25" t="inlineStr">
        <is>
          <t>Streets as Public Spaces: Lessons from Street Vending in Ahmedabad, India</t>
        </is>
      </c>
      <c r="D25" t="n">
        <v>2019</v>
      </c>
      <c r="E25" t="inlineStr">
        <is>
          <t>Prithvi Deore; Saumya Lathia</t>
        </is>
      </c>
      <c r="F25" t="inlineStr">
        <is>
          <t>Urban Planning</t>
        </is>
      </c>
      <c r="G25" t="n">
        <v>45</v>
      </c>
      <c r="H25" t="inlineStr">
        <is>
          <t>10.17645/up.v4i2.2058</t>
        </is>
      </c>
      <c r="I25" t="inlineStr">
        <is>
          <t>South Asia</t>
        </is>
      </c>
      <c r="J25" t="inlineStr">
        <is>
          <t>Ahmedabad; India</t>
        </is>
      </c>
      <c r="K25" t="inlineStr">
        <is>
          <t>A9:india</t>
        </is>
      </c>
      <c r="L25" t="inlineStr"/>
      <c r="M25" t="inlineStr"/>
    </row>
    <row r="26">
      <c r="A26" t="inlineStr">
        <is>
          <t>LM00069</t>
        </is>
      </c>
      <c r="B26" t="inlineStr">
        <is>
          <t>A9</t>
        </is>
      </c>
      <c r="C26" t="inlineStr">
        <is>
          <t>Public space and citizenship in Mumbai</t>
        </is>
      </c>
      <c r="D26" t="n">
        <v>2019</v>
      </c>
      <c r="E26" t="inlineStr">
        <is>
          <t>Tanu Sankalia</t>
        </is>
      </c>
      <c r="F26" t="inlineStr">
        <is>
          <t>City</t>
        </is>
      </c>
      <c r="G26" t="n">
        <v>4</v>
      </c>
      <c r="H26" t="inlineStr">
        <is>
          <t>10.1080/13604813.2019.1647707</t>
        </is>
      </c>
      <c r="I26" t="inlineStr">
        <is>
          <t>South Asia</t>
        </is>
      </c>
      <c r="J26" t="inlineStr">
        <is>
          <t>India; Mumbai</t>
        </is>
      </c>
      <c r="K26" t="inlineStr">
        <is>
          <t>A9:india</t>
        </is>
      </c>
      <c r="L26" t="inlineStr"/>
      <c r="M26" t="inlineStr"/>
    </row>
    <row r="27">
      <c r="A27" t="inlineStr">
        <is>
          <t>LM00054</t>
        </is>
      </c>
      <c r="B27" t="inlineStr">
        <is>
          <t>A9</t>
        </is>
      </c>
      <c r="C27" t="inlineStr">
        <is>
          <t>The Street Vendors Act and the right to public space in Mumbai</t>
        </is>
      </c>
      <c r="D27" t="n">
        <v>2018</v>
      </c>
      <c r="E27" t="inlineStr">
        <is>
          <t>Lola Salès</t>
        </is>
      </c>
      <c r="F27" t="inlineStr">
        <is>
          <t>Articulo – revue de sciences humaines</t>
        </is>
      </c>
      <c r="G27" t="n">
        <v>17</v>
      </c>
      <c r="H27" t="inlineStr">
        <is>
          <t>10.4000/articulo.3631</t>
        </is>
      </c>
      <c r="I27" t="inlineStr">
        <is>
          <t>South Asia</t>
        </is>
      </c>
      <c r="J27" t="inlineStr">
        <is>
          <t>India; Mumbai</t>
        </is>
      </c>
      <c r="K27" t="inlineStr">
        <is>
          <t>A9:india</t>
        </is>
      </c>
      <c r="L27" t="inlineStr"/>
      <c r="M27" t="inlineStr"/>
    </row>
    <row r="28">
      <c r="A28" t="inlineStr">
        <is>
          <t>LM00068</t>
        </is>
      </c>
      <c r="B28" t="inlineStr">
        <is>
          <t>A9</t>
        </is>
      </c>
      <c r="C28" t="inlineStr">
        <is>
          <t>Global Flows or Rural–Urban Connections? Temporality, Public Spaces and Heterotopias in Globalising Mumbai</t>
        </is>
      </c>
      <c r="D28" t="n">
        <v>2017</v>
      </c>
      <c r="E28" t="inlineStr">
        <is>
          <t>Devanathan Parthasarathy</t>
        </is>
      </c>
      <c r="F28" t="inlineStr">
        <is>
          <t>Exploring urban change in South Asia</t>
        </is>
      </c>
      <c r="G28" t="n">
        <v>4</v>
      </c>
      <c r="H28" t="inlineStr">
        <is>
          <t>10.1007/978-81-322-3741-9_3</t>
        </is>
      </c>
      <c r="I28" t="inlineStr">
        <is>
          <t>South Asia</t>
        </is>
      </c>
      <c r="J28" t="inlineStr">
        <is>
          <t>Mumbai</t>
        </is>
      </c>
      <c r="K28" t="inlineStr">
        <is>
          <t>A9:india</t>
        </is>
      </c>
      <c r="L28" t="inlineStr"/>
      <c r="M28" t="inlineStr"/>
    </row>
    <row r="29">
      <c r="A29" t="inlineStr">
        <is>
          <t>LM00045</t>
        </is>
      </c>
      <c r="B29" t="inlineStr">
        <is>
          <t>A9</t>
        </is>
      </c>
      <c r="C29" t="inlineStr">
        <is>
          <t>The Slow Boil: Street Food, Rights and Public Space in Mumbai</t>
        </is>
      </c>
      <c r="D29" t="n">
        <v>2016</v>
      </c>
      <c r="E29" t="inlineStr">
        <is>
          <t>Jonathan Shapiro Anjaria</t>
        </is>
      </c>
      <c r="F29" t="inlineStr"/>
      <c r="G29" t="n">
        <v>69</v>
      </c>
      <c r="H29" t="inlineStr"/>
      <c r="I29" t="inlineStr">
        <is>
          <t>South Asia</t>
        </is>
      </c>
      <c r="J29" t="inlineStr">
        <is>
          <t>Mumbai</t>
        </is>
      </c>
      <c r="K29" t="inlineStr">
        <is>
          <t>A9:india</t>
        </is>
      </c>
      <c r="L29" t="inlineStr"/>
      <c r="M29" t="inlineStr"/>
    </row>
    <row r="30">
      <c r="A30" t="inlineStr">
        <is>
          <t>LM00062</t>
        </is>
      </c>
      <c r="B30" t="inlineStr">
        <is>
          <t>A9</t>
        </is>
      </c>
      <c r="C30" t="inlineStr">
        <is>
          <t>Regulating Access and Mobility of Single Women in a “World Class”-city: Gender and Inequality in Delhi, India</t>
        </is>
      </c>
      <c r="D30" t="n">
        <v>2016</v>
      </c>
      <c r="E30" t="inlineStr">
        <is>
          <t>Christiane Brosius</t>
        </is>
      </c>
      <c r="F30" t="inlineStr">
        <is>
          <t>Palgrave Macmillan US eBooks</t>
        </is>
      </c>
      <c r="G30" t="n">
        <v>7</v>
      </c>
      <c r="H30" t="inlineStr">
        <is>
          <t>10.1057/978-1-349-95115-4_10</t>
        </is>
      </c>
      <c r="I30" t="inlineStr">
        <is>
          <t>South Asia</t>
        </is>
      </c>
      <c r="J30" t="inlineStr">
        <is>
          <t>Delhi; India</t>
        </is>
      </c>
      <c r="K30" t="inlineStr">
        <is>
          <t>A9:india</t>
        </is>
      </c>
      <c r="L30" t="inlineStr">
        <is>
          <t>Y</t>
        </is>
      </c>
      <c r="M30" t="inlineStr"/>
    </row>
    <row r="31">
      <c r="A31" t="inlineStr">
        <is>
          <t>LM00123</t>
        </is>
      </c>
      <c r="B31" t="inlineStr">
        <is>
          <t>A9</t>
        </is>
      </c>
      <c r="C31" t="inlineStr">
        <is>
          <t>Spaces for engagement in the city of Mumbai : rethinking parks and public spaces in congested cities</t>
        </is>
      </c>
      <c r="D31" t="n">
        <v>2015</v>
      </c>
      <c r="E31" t="inlineStr">
        <is>
          <t>Kairav Shroff</t>
        </is>
      </c>
      <c r="F31" t="inlineStr"/>
      <c r="G31" t="n">
        <v>0</v>
      </c>
      <c r="H31" t="inlineStr"/>
      <c r="I31" t="inlineStr">
        <is>
          <t>South Asia</t>
        </is>
      </c>
      <c r="J31" t="inlineStr">
        <is>
          <t>Mumbai</t>
        </is>
      </c>
      <c r="K31" t="inlineStr">
        <is>
          <t>A9:india</t>
        </is>
      </c>
      <c r="L31" t="inlineStr"/>
      <c r="M31" t="inlineStr"/>
    </row>
    <row r="32">
      <c r="A32" t="inlineStr">
        <is>
          <t>LM00067</t>
        </is>
      </c>
      <c r="B32" t="inlineStr">
        <is>
          <t>A9</t>
        </is>
      </c>
      <c r="C32" t="inlineStr">
        <is>
          <t>Public Space and Life in an Indian City: The Politics of Space in Bangalore.</t>
        </is>
      </c>
      <c r="D32" t="n">
        <v>2014</v>
      </c>
      <c r="E32" t="inlineStr">
        <is>
          <t>Salila Vanka</t>
        </is>
      </c>
      <c r="F32" t="inlineStr">
        <is>
          <t>Deep Blue (University of Michigan)</t>
        </is>
      </c>
      <c r="G32" t="n">
        <v>5</v>
      </c>
      <c r="H32" t="inlineStr"/>
      <c r="I32" t="inlineStr">
        <is>
          <t>South Asia</t>
        </is>
      </c>
      <c r="J32" t="inlineStr">
        <is>
          <t>Bangalore; India</t>
        </is>
      </c>
      <c r="K32" t="inlineStr">
        <is>
          <t>A9:india</t>
        </is>
      </c>
      <c r="L32" t="inlineStr"/>
      <c r="M32" t="inlineStr"/>
    </row>
    <row r="33">
      <c r="A33" t="inlineStr">
        <is>
          <t>LM00096</t>
        </is>
      </c>
      <c r="B33" t="inlineStr">
        <is>
          <t>A9</t>
        </is>
      </c>
      <c r="C33" t="inlineStr">
        <is>
          <t>Public space and livelihood security in the urban economy: the case of street vendors in Mumbai</t>
        </is>
      </c>
      <c r="D33" t="n">
        <v>2014</v>
      </c>
      <c r="E33" t="inlineStr">
        <is>
          <t>Debdulal Saha</t>
        </is>
      </c>
      <c r="F33" t="inlineStr"/>
      <c r="G33" t="n">
        <v>0</v>
      </c>
      <c r="H33" t="inlineStr">
        <is>
          <t>10.4324/9781315780139-13</t>
        </is>
      </c>
      <c r="I33" t="inlineStr">
        <is>
          <t>South Asia</t>
        </is>
      </c>
      <c r="J33" t="inlineStr">
        <is>
          <t>Mumbai</t>
        </is>
      </c>
      <c r="K33" t="inlineStr">
        <is>
          <t>A9:india</t>
        </is>
      </c>
      <c r="L33" t="inlineStr"/>
      <c r="M33" t="inlineStr"/>
    </row>
    <row r="34">
      <c r="A34" t="inlineStr">
        <is>
          <t>LM00122</t>
        </is>
      </c>
      <c r="B34" t="inlineStr">
        <is>
          <t>A9</t>
        </is>
      </c>
      <c r="C34" t="inlineStr">
        <is>
          <t>Designing Indian streets as social public spaces : contextual design and planning in Bangalore</t>
        </is>
      </c>
      <c r="D34" t="n">
        <v>2014</v>
      </c>
      <c r="E34" t="inlineStr">
        <is>
          <t>Sneha Mandhan</t>
        </is>
      </c>
      <c r="F34" t="inlineStr">
        <is>
          <t>DSpace@MIT (Massachusetts Institute of Technology)</t>
        </is>
      </c>
      <c r="G34" t="n">
        <v>0</v>
      </c>
      <c r="H34" t="inlineStr"/>
      <c r="I34" t="inlineStr">
        <is>
          <t>South Asia</t>
        </is>
      </c>
      <c r="J34" t="inlineStr">
        <is>
          <t>Bangalore; India</t>
        </is>
      </c>
      <c r="K34" t="inlineStr">
        <is>
          <t>A9:india</t>
        </is>
      </c>
      <c r="L34" t="inlineStr"/>
      <c r="M34" t="inlineStr"/>
    </row>
    <row r="35">
      <c r="A35" t="inlineStr">
        <is>
          <t>LM00059</t>
        </is>
      </c>
      <c r="B35" t="inlineStr">
        <is>
          <t>A9</t>
        </is>
      </c>
      <c r="C35" t="inlineStr">
        <is>
          <t>The Politics of Illegality: Mumbai Hawkers, Public Space and the Everyday Life of the Law</t>
        </is>
      </c>
      <c r="D35" t="n">
        <v>2012</v>
      </c>
      <c r="E35" t="inlineStr">
        <is>
          <t>Luciana Fukimoto Itikawa</t>
        </is>
      </c>
      <c r="F35" t="inlineStr">
        <is>
          <t>Routledge eBooks</t>
        </is>
      </c>
      <c r="G35" t="n">
        <v>10</v>
      </c>
      <c r="H35" t="inlineStr">
        <is>
          <t>10.4324/9780203150542-11</t>
        </is>
      </c>
      <c r="I35" t="inlineStr">
        <is>
          <t>South Asia</t>
        </is>
      </c>
      <c r="J35" t="inlineStr">
        <is>
          <t>Mumbai</t>
        </is>
      </c>
      <c r="K35" t="inlineStr">
        <is>
          <t>A9:india</t>
        </is>
      </c>
      <c r="L35" t="inlineStr"/>
      <c r="M35" t="inlineStr"/>
    </row>
    <row r="36">
      <c r="A36" t="inlineStr">
        <is>
          <t>LM00124</t>
        </is>
      </c>
      <c r="B36" t="inlineStr">
        <is>
          <t>A9</t>
        </is>
      </c>
      <c r="C36" t="inlineStr">
        <is>
          <t>Everyday Urbanism, An Alternate Approach to Urban Public Space : Promoting Sustainable Lifestyles in Chennai, India</t>
        </is>
      </c>
      <c r="D36" t="n">
        <v>2012</v>
      </c>
      <c r="E36" t="inlineStr">
        <is>
          <t>Arvind Ramachandran</t>
        </is>
      </c>
      <c r="F36" t="inlineStr">
        <is>
          <t>KTH Publication Database DiVA (KTH Royal Institute of Technology)</t>
        </is>
      </c>
      <c r="G36" t="n">
        <v>0</v>
      </c>
      <c r="H36" t="inlineStr"/>
      <c r="I36" t="inlineStr">
        <is>
          <t>South Asia</t>
        </is>
      </c>
      <c r="J36" t="inlineStr">
        <is>
          <t>Chennai; India</t>
        </is>
      </c>
      <c r="K36" t="inlineStr">
        <is>
          <t>A9:india</t>
        </is>
      </c>
      <c r="L36" t="inlineStr"/>
      <c r="M36" t="inlineStr"/>
    </row>
    <row r="37">
      <c r="A37" t="inlineStr">
        <is>
          <t>LM00043</t>
        </is>
      </c>
      <c r="B37" t="inlineStr">
        <is>
          <t>A9</t>
        </is>
      </c>
      <c r="C37" t="inlineStr">
        <is>
          <t>Guardians of the Bourgeois City: Citizenship, Public Space, and Middle–Class Activism in Mumbai</t>
        </is>
      </c>
      <c r="D37" t="n">
        <v>2009</v>
      </c>
      <c r="E37" t="inlineStr">
        <is>
          <t>Jonathan Shapiro Anjaria</t>
        </is>
      </c>
      <c r="F37" t="inlineStr">
        <is>
          <t>City and Community</t>
        </is>
      </c>
      <c r="G37" t="n">
        <v>142</v>
      </c>
      <c r="H37" t="inlineStr">
        <is>
          <t>10.1111/j.1540-6040.2009.01299.x</t>
        </is>
      </c>
      <c r="I37" t="inlineStr">
        <is>
          <t>South Asia</t>
        </is>
      </c>
      <c r="J37" t="inlineStr">
        <is>
          <t>India; Mumbai</t>
        </is>
      </c>
      <c r="K37" t="inlineStr">
        <is>
          <t>A9:india</t>
        </is>
      </c>
      <c r="L37" t="inlineStr"/>
      <c r="M37" t="inlineStr"/>
    </row>
    <row r="38">
      <c r="A38" t="inlineStr">
        <is>
          <t>LM00215</t>
        </is>
      </c>
      <c r="B38" t="inlineStr">
        <is>
          <t>B5</t>
        </is>
      </c>
      <c r="C38" t="inlineStr">
        <is>
          <t>Digital Public Infrastructure as a Driver of Innovation: Global Lessons from the India Stack Experience</t>
        </is>
      </c>
      <c r="D38" t="n">
        <v>2026</v>
      </c>
      <c r="E38" t="inlineStr">
        <is>
          <t>Aswathi Mary Varghese; K. Jisha</t>
        </is>
      </c>
      <c r="F38" t="inlineStr">
        <is>
          <t>Lecture notes in networks and systems</t>
        </is>
      </c>
      <c r="G38" t="n">
        <v>0</v>
      </c>
      <c r="H38" t="inlineStr">
        <is>
          <t>10.1007/978-3-032-12996-3_27</t>
        </is>
      </c>
      <c r="I38" t="inlineStr">
        <is>
          <t>South Asia</t>
        </is>
      </c>
      <c r="J38" t="inlineStr">
        <is>
          <t>India</t>
        </is>
      </c>
      <c r="K38" t="inlineStr">
        <is>
          <t>B5:india; B5:recent</t>
        </is>
      </c>
      <c r="L38" t="inlineStr"/>
      <c r="M38" t="inlineStr"/>
    </row>
    <row r="39">
      <c r="A39" t="inlineStr">
        <is>
          <t>LM00216</t>
        </is>
      </c>
      <c r="B39" t="inlineStr">
        <is>
          <t>B5</t>
        </is>
      </c>
      <c r="C39" t="inlineStr">
        <is>
          <t>The Architecture of Influence: India’s Digital Public Infrastructure and Its Significance</t>
        </is>
      </c>
      <c r="D39" t="n">
        <v>2026</v>
      </c>
      <c r="E39" t="inlineStr">
        <is>
          <t>Abhay Singh</t>
        </is>
      </c>
      <c r="F39" t="inlineStr">
        <is>
          <t>International Journal For Multidisciplinary Research</t>
        </is>
      </c>
      <c r="G39" t="n">
        <v>0</v>
      </c>
      <c r="H39" t="inlineStr">
        <is>
          <t>10.36948/ijfmr.2026.v08i01.68524</t>
        </is>
      </c>
      <c r="I39" t="inlineStr">
        <is>
          <t>Multi-region</t>
        </is>
      </c>
      <c r="J39" t="inlineStr">
        <is>
          <t>China; India</t>
        </is>
      </c>
      <c r="K39" t="inlineStr">
        <is>
          <t>B5:recent</t>
        </is>
      </c>
      <c r="L39" t="inlineStr"/>
      <c r="M39" t="inlineStr"/>
    </row>
    <row r="40">
      <c r="A40" t="inlineStr">
        <is>
          <t>LM00217</t>
        </is>
      </c>
      <c r="B40" t="inlineStr">
        <is>
          <t>B5</t>
        </is>
      </c>
      <c r="C40" t="inlineStr">
        <is>
          <t>Digital innovation in welfare delivery: a qualitative case study-based assessment of Aadhaar-based automation and rural exclusion in India</t>
        </is>
      </c>
      <c r="D40" t="n">
        <v>2026</v>
      </c>
      <c r="E40" t="inlineStr">
        <is>
          <t>Gargee Sarkar</t>
        </is>
      </c>
      <c r="F40" t="inlineStr">
        <is>
          <t>CRC Press eBooks</t>
        </is>
      </c>
      <c r="G40" t="n">
        <v>0</v>
      </c>
      <c r="H40" t="inlineStr">
        <is>
          <t>10.1201/9781003773504-117</t>
        </is>
      </c>
      <c r="I40" t="inlineStr">
        <is>
          <t>South Asia</t>
        </is>
      </c>
      <c r="J40" t="inlineStr">
        <is>
          <t>India</t>
        </is>
      </c>
      <c r="K40" t="inlineStr">
        <is>
          <t>B5:india; B5:recent</t>
        </is>
      </c>
      <c r="L40" t="inlineStr"/>
      <c r="M40" t="inlineStr"/>
    </row>
    <row r="41">
      <c r="A41" t="inlineStr">
        <is>
          <t>LM00223</t>
        </is>
      </c>
      <c r="B41" t="inlineStr">
        <is>
          <t>B5</t>
        </is>
      </c>
      <c r="C41" t="inlineStr">
        <is>
          <t>Digital Public Infrastructure and Economic Growth: A Case Study of UPI and DBT in India</t>
        </is>
      </c>
      <c r="D41" t="n">
        <v>2026</v>
      </c>
      <c r="E41" t="inlineStr">
        <is>
          <t>Udayakumara M</t>
        </is>
      </c>
      <c r="F41" t="inlineStr">
        <is>
          <t>International Journal For Multidisciplinary Research</t>
        </is>
      </c>
      <c r="G41" t="n">
        <v>0</v>
      </c>
      <c r="H41" t="inlineStr">
        <is>
          <t>10.36948/ijfmr.2026.v08i04.85486</t>
        </is>
      </c>
      <c r="I41" t="inlineStr">
        <is>
          <t>South Asia</t>
        </is>
      </c>
      <c r="J41" t="inlineStr">
        <is>
          <t>India</t>
        </is>
      </c>
      <c r="K41" t="inlineStr">
        <is>
          <t>B5:india; B5:recent</t>
        </is>
      </c>
      <c r="L41" t="inlineStr"/>
      <c r="M41" t="inlineStr"/>
    </row>
    <row r="42">
      <c r="A42" t="inlineStr">
        <is>
          <t>LM00225</t>
        </is>
      </c>
      <c r="B42" t="inlineStr">
        <is>
          <t>B5</t>
        </is>
      </c>
      <c r="C42" t="inlineStr">
        <is>
          <t>Digital Public Infrastructure and Inclusive Digital Transformation in Indonesia: Insights from India Stack</t>
        </is>
      </c>
      <c r="D42" t="n">
        <v>2026</v>
      </c>
      <c r="E42" t="inlineStr">
        <is>
          <t>Ryan Achmad Arianto Ekasaputra</t>
        </is>
      </c>
      <c r="F42" t="inlineStr">
        <is>
          <t>Advances in economics, business and management research/Advances in Economics, Business and Management Research</t>
        </is>
      </c>
      <c r="G42" t="n">
        <v>0</v>
      </c>
      <c r="H42" t="inlineStr">
        <is>
          <t>10.2991/978-94-6239-754-5_20</t>
        </is>
      </c>
      <c r="I42" t="inlineStr">
        <is>
          <t>Multi-region</t>
        </is>
      </c>
      <c r="J42" t="inlineStr">
        <is>
          <t>India; Indonesia</t>
        </is>
      </c>
      <c r="K42" t="inlineStr">
        <is>
          <t>B5:recent</t>
        </is>
      </c>
      <c r="L42" t="inlineStr"/>
      <c r="M42" t="inlineStr"/>
    </row>
    <row r="43">
      <c r="A43" t="inlineStr">
        <is>
          <t>LM00232</t>
        </is>
      </c>
      <c r="B43" t="inlineStr">
        <is>
          <t>B5</t>
        </is>
      </c>
      <c r="C43" t="inlineStr">
        <is>
          <t>What India's Digital Public Infrastructure does Not Yet do: A Comparative Policy Review of Missing Governance Layers</t>
        </is>
      </c>
      <c r="D43" t="n">
        <v>2026</v>
      </c>
      <c r="E43" t="inlineStr">
        <is>
          <t>Tanika Singh</t>
        </is>
      </c>
      <c r="F43" t="inlineStr">
        <is>
          <t>SSRN Electronic Journal</t>
        </is>
      </c>
      <c r="G43" t="n">
        <v>0</v>
      </c>
      <c r="H43" t="inlineStr">
        <is>
          <t>10.2139/ssrn.6034114</t>
        </is>
      </c>
      <c r="I43" t="inlineStr">
        <is>
          <t>South Asia</t>
        </is>
      </c>
      <c r="J43" t="inlineStr">
        <is>
          <t>India</t>
        </is>
      </c>
      <c r="K43" t="inlineStr">
        <is>
          <t>B5:india; B5:recent</t>
        </is>
      </c>
      <c r="L43" t="inlineStr"/>
      <c r="M43" t="inlineStr"/>
    </row>
    <row r="44">
      <c r="A44" t="inlineStr">
        <is>
          <t>LM00233</t>
        </is>
      </c>
      <c r="B44" t="inlineStr">
        <is>
          <t>B5</t>
        </is>
      </c>
      <c r="C44" t="inlineStr">
        <is>
          <t>Biopolitical Technologies of Control: Aadhaar, NRC, and the Redefinition of Citizenship and State Power in Contemporary India</t>
        </is>
      </c>
      <c r="D44" t="n">
        <v>2026</v>
      </c>
      <c r="E44" t="inlineStr">
        <is>
          <t>Sahil Mahmud</t>
        </is>
      </c>
      <c r="F44" t="inlineStr">
        <is>
          <t>SSRN Electronic Journal</t>
        </is>
      </c>
      <c r="G44" t="n">
        <v>0</v>
      </c>
      <c r="H44" t="inlineStr">
        <is>
          <t>10.2139/ssrn.6288298</t>
        </is>
      </c>
      <c r="I44" t="inlineStr">
        <is>
          <t>South Asia</t>
        </is>
      </c>
      <c r="J44" t="inlineStr">
        <is>
          <t>India</t>
        </is>
      </c>
      <c r="K44" t="inlineStr">
        <is>
          <t>B5:india; B5:recent</t>
        </is>
      </c>
      <c r="L44" t="inlineStr"/>
      <c r="M44" t="inlineStr"/>
    </row>
    <row r="45">
      <c r="A45" t="inlineStr">
        <is>
          <t>LM00238</t>
        </is>
      </c>
      <c r="B45" t="inlineStr">
        <is>
          <t>B5</t>
        </is>
      </c>
      <c r="C45" t="inlineStr">
        <is>
          <t>Digital Public Infrastructure and Economic Stability in India: Evidence from UPI, Aadhaar and Direct Benefit Transfers</t>
        </is>
      </c>
      <c r="D45" t="n">
        <v>2026</v>
      </c>
      <c r="E45" t="inlineStr">
        <is>
          <t>Dr. Sejal B Patel</t>
        </is>
      </c>
      <c r="F45" t="inlineStr">
        <is>
          <t>Zenodo (CERN European Organization for Nuclear Research)</t>
        </is>
      </c>
      <c r="G45" t="n">
        <v>0</v>
      </c>
      <c r="H45" t="inlineStr">
        <is>
          <t>10.5281/zenodo.20410068</t>
        </is>
      </c>
      <c r="I45" t="inlineStr">
        <is>
          <t>South Asia</t>
        </is>
      </c>
      <c r="J45" t="inlineStr">
        <is>
          <t>Gujarat; India</t>
        </is>
      </c>
      <c r="K45" t="inlineStr">
        <is>
          <t>B5:india</t>
        </is>
      </c>
      <c r="L45" t="inlineStr"/>
      <c r="M45" t="inlineStr"/>
    </row>
    <row r="46">
      <c r="A46" t="inlineStr">
        <is>
          <t>LM00239</t>
        </is>
      </c>
      <c r="B46" t="inlineStr">
        <is>
          <t>B5</t>
        </is>
      </c>
      <c r="C46" t="inlineStr">
        <is>
          <t>The Legal Status of Digital Identity in India: Aadhaar, Digital Citizenship, and the Future of Governance</t>
        </is>
      </c>
      <c r="D46" t="n">
        <v>2026</v>
      </c>
      <c r="E46" t="inlineStr">
        <is>
          <t>Mr. Subham Chatterjee</t>
        </is>
      </c>
      <c r="F46" t="inlineStr">
        <is>
          <t>Zenodo (CERN European Organization for Nuclear Research)</t>
        </is>
      </c>
      <c r="G46" t="n">
        <v>0</v>
      </c>
      <c r="H46" t="inlineStr">
        <is>
          <t>10.5281/zenodo.20667022</t>
        </is>
      </c>
      <c r="I46" t="inlineStr">
        <is>
          <t>South Asia</t>
        </is>
      </c>
      <c r="J46" t="inlineStr">
        <is>
          <t>India</t>
        </is>
      </c>
      <c r="K46" t="inlineStr">
        <is>
          <t>B5:india; B5:recent</t>
        </is>
      </c>
      <c r="L46" t="inlineStr"/>
      <c r="M46" t="inlineStr"/>
    </row>
    <row r="47">
      <c r="A47" t="inlineStr">
        <is>
          <t>LM00241</t>
        </is>
      </c>
      <c r="B47" t="inlineStr">
        <is>
          <t>B5</t>
        </is>
      </c>
      <c r="C47" t="inlineStr">
        <is>
          <t>India Stack as Digital Public Infrastructure: A Strategic and Empirical Analysis of Financial Inclusion</t>
        </is>
      </c>
      <c r="D47" t="n">
        <v>2026</v>
      </c>
      <c r="E47" t="inlineStr">
        <is>
          <t>Mallikarjun Dalal</t>
        </is>
      </c>
      <c r="F47" t="inlineStr">
        <is>
          <t>Zenodo (CERN European Organization for Nuclear Research)</t>
        </is>
      </c>
      <c r="G47" t="n">
        <v>0</v>
      </c>
      <c r="H47" t="inlineStr">
        <is>
          <t>10.5281/zenodo.21288912</t>
        </is>
      </c>
      <c r="I47" t="inlineStr">
        <is>
          <t>Multi-region</t>
        </is>
      </c>
      <c r="J47" t="inlineStr">
        <is>
          <t>Brazil; Ghana; India</t>
        </is>
      </c>
      <c r="K47" t="inlineStr">
        <is>
          <t>B5:india; B5:recent</t>
        </is>
      </c>
      <c r="L47" t="inlineStr"/>
      <c r="M47" t="inlineStr"/>
    </row>
    <row r="48">
      <c r="A48" t="inlineStr">
        <is>
          <t>LM00242</t>
        </is>
      </c>
      <c r="B48" t="inlineStr">
        <is>
          <t>B5</t>
        </is>
      </c>
      <c r="C48" t="inlineStr">
        <is>
          <t>Closing the Last Mile: Building Accountability into AI Driven Public Service Delivery What India's Digital Public Infrastructure Can Teach the Global South</t>
        </is>
      </c>
      <c r="D48" t="n">
        <v>2026</v>
      </c>
      <c r="E48" t="inlineStr">
        <is>
          <t>Sach Mehan</t>
        </is>
      </c>
      <c r="F48" t="inlineStr">
        <is>
          <t>Zenodo (CERN European Organization for Nuclear Research)</t>
        </is>
      </c>
      <c r="G48" t="n">
        <v>0</v>
      </c>
      <c r="H48" t="inlineStr">
        <is>
          <t>10.5281/zenodo.21875016</t>
        </is>
      </c>
      <c r="I48" t="inlineStr">
        <is>
          <t>Multi-region</t>
        </is>
      </c>
      <c r="J48" t="inlineStr">
        <is>
          <t>Bhutan; France; India; Kenya; Nepal; United Arab Emirates</t>
        </is>
      </c>
      <c r="K48" t="inlineStr">
        <is>
          <t>B5:recent</t>
        </is>
      </c>
      <c r="L48" t="inlineStr"/>
      <c r="M48" t="inlineStr"/>
    </row>
    <row r="49">
      <c r="A49" t="inlineStr">
        <is>
          <t>LM00243</t>
        </is>
      </c>
      <c r="B49" t="inlineStr">
        <is>
          <t>B5</t>
        </is>
      </c>
      <c r="C49" t="inlineStr">
        <is>
          <t>Digital Public Infrastructure and Evidence-Based Governance: Aadhaar and Direct Benefit Transfer (DBT) in Contemporary India</t>
        </is>
      </c>
      <c r="D49" t="n">
        <v>2026</v>
      </c>
      <c r="E49" t="inlineStr">
        <is>
          <t>Saket Bihari</t>
        </is>
      </c>
      <c r="F49" t="inlineStr">
        <is>
          <t>Zenodo (CERN European Organization for Nuclear Research)</t>
        </is>
      </c>
      <c r="G49" t="n">
        <v>0</v>
      </c>
      <c r="H49" t="inlineStr">
        <is>
          <t>10.5281/zenodo.22094332</t>
        </is>
      </c>
      <c r="I49" t="inlineStr">
        <is>
          <t>South Asia</t>
        </is>
      </c>
      <c r="J49" t="inlineStr">
        <is>
          <t>India</t>
        </is>
      </c>
      <c r="K49" t="inlineStr">
        <is>
          <t>B5:india; B5:recent</t>
        </is>
      </c>
      <c r="L49" t="inlineStr"/>
      <c r="M49" t="inlineStr"/>
    </row>
    <row r="50">
      <c r="A50" t="inlineStr">
        <is>
          <t>LM00244</t>
        </is>
      </c>
      <c r="B50" t="inlineStr">
        <is>
          <t>B5</t>
        </is>
      </c>
      <c r="C50" t="inlineStr">
        <is>
          <t>Artificial Intelligence in India's Digital Public Infrastructure: An Economic Analysis of Aadhaar and UPI-Based Financial Inclusion</t>
        </is>
      </c>
      <c r="D50" t="n">
        <v>2026</v>
      </c>
      <c r="E50" t="inlineStr">
        <is>
          <t>Sowmya S Murthy</t>
        </is>
      </c>
      <c r="F50" t="inlineStr">
        <is>
          <t>Zenodo (CERN European Organization for Nuclear Research)</t>
        </is>
      </c>
      <c r="G50" t="n">
        <v>0</v>
      </c>
      <c r="H50" t="inlineStr">
        <is>
          <t>10.5281/zenodo.22677486</t>
        </is>
      </c>
      <c r="I50" t="inlineStr">
        <is>
          <t>South Asia</t>
        </is>
      </c>
      <c r="J50" t="inlineStr">
        <is>
          <t>India</t>
        </is>
      </c>
      <c r="K50" t="inlineStr">
        <is>
          <t>B5:india; B5:recent</t>
        </is>
      </c>
      <c r="L50" t="inlineStr"/>
      <c r="M50" t="inlineStr"/>
    </row>
    <row r="51">
      <c r="A51" t="inlineStr">
        <is>
          <t>LM00245</t>
        </is>
      </c>
      <c r="B51" t="inlineStr">
        <is>
          <t>B5</t>
        </is>
      </c>
      <c r="C51" t="inlineStr">
        <is>
          <t>Digital Public Infrastructure as a Convergence Accelerator for Emerging Economies: Identity, payments, and data rails compressing decades of institutional development</t>
        </is>
      </c>
      <c r="D51" t="n">
        <v>2026</v>
      </c>
      <c r="E51" t="inlineStr">
        <is>
          <t>Hunter Hughes</t>
        </is>
      </c>
      <c r="F51" t="inlineStr">
        <is>
          <t>Figshare</t>
        </is>
      </c>
      <c r="G51" t="n">
        <v>0</v>
      </c>
      <c r="H51" t="inlineStr">
        <is>
          <t>10.6084/m9.figshare.34001571</t>
        </is>
      </c>
      <c r="I51" t="inlineStr">
        <is>
          <t>Multi-region</t>
        </is>
      </c>
      <c r="J51" t="inlineStr">
        <is>
          <t>Brazil; Estonia; India; Kenya; Nigeria; Rwanda</t>
        </is>
      </c>
      <c r="K51" t="inlineStr">
        <is>
          <t>B5:recent</t>
        </is>
      </c>
      <c r="L51" t="inlineStr"/>
      <c r="M51" t="inlineStr"/>
    </row>
    <row r="52">
      <c r="A52" t="inlineStr">
        <is>
          <t>LM00247</t>
        </is>
      </c>
      <c r="B52" t="inlineStr">
        <is>
          <t>B5</t>
        </is>
      </c>
      <c r="C52" t="inlineStr">
        <is>
          <t>Evaluating the Role of India Stack in Enhancing Financial Inclusion: A Case Study of UPI and Aadhaar-enabled Services in Delhi, India</t>
        </is>
      </c>
      <c r="D52" t="n">
        <v>2026</v>
      </c>
      <c r="E52" t="inlineStr">
        <is>
          <t>Ramya Kathal</t>
        </is>
      </c>
      <c r="F52" t="inlineStr">
        <is>
          <t>Digital Repository (National Repository of Grey Literature)</t>
        </is>
      </c>
      <c r="G52" t="n">
        <v>0</v>
      </c>
      <c r="H52" t="inlineStr"/>
      <c r="I52" t="inlineStr">
        <is>
          <t>South Asia</t>
        </is>
      </c>
      <c r="J52" t="inlineStr">
        <is>
          <t>Delhi; India</t>
        </is>
      </c>
      <c r="K52" t="inlineStr">
        <is>
          <t>B5:india; B5:recent</t>
        </is>
      </c>
      <c r="L52" t="inlineStr">
        <is>
          <t>Y</t>
        </is>
      </c>
      <c r="M52" t="inlineStr"/>
    </row>
    <row r="53">
      <c r="A53" t="inlineStr">
        <is>
          <t>LM00195</t>
        </is>
      </c>
      <c r="B53" t="inlineStr">
        <is>
          <t>B5</t>
        </is>
      </c>
      <c r="C53" t="inlineStr">
        <is>
          <t>Decoding the Indian data governance model: Relooking at Aadhaar</t>
        </is>
      </c>
      <c r="D53" t="n">
        <v>2025</v>
      </c>
      <c r="E53" t="inlineStr">
        <is>
          <t>Anjana Sasi</t>
        </is>
      </c>
      <c r="F53" t="inlineStr">
        <is>
          <t>Social Sciences &amp; Humanities Open</t>
        </is>
      </c>
      <c r="G53" t="n">
        <v>6</v>
      </c>
      <c r="H53" t="inlineStr">
        <is>
          <t>10.1016/j.ssaho.2025.101408</t>
        </is>
      </c>
      <c r="I53" t="inlineStr">
        <is>
          <t>Multi-region</t>
        </is>
      </c>
      <c r="J53" t="inlineStr">
        <is>
          <t>Brazil; Estonia; India</t>
        </is>
      </c>
      <c r="K53" t="inlineStr">
        <is>
          <t>B5:india; B5:recent</t>
        </is>
      </c>
      <c r="L53" t="inlineStr"/>
      <c r="M53" t="inlineStr"/>
    </row>
    <row r="54">
      <c r="A54" t="inlineStr">
        <is>
          <t>LM00197</t>
        </is>
      </c>
      <c r="B54" t="inlineStr">
        <is>
          <t>B5</t>
        </is>
      </c>
      <c r="C54" t="inlineStr">
        <is>
          <t>Digital public infrastructure as a driver of financial inclusion in India</t>
        </is>
      </c>
      <c r="D54" t="n">
        <v>2025</v>
      </c>
      <c r="E54" t="inlineStr">
        <is>
          <t>Komal Chopra; Neeru Sidana; Rochna Arora</t>
        </is>
      </c>
      <c r="F54" t="inlineStr">
        <is>
          <t>Discover Sustainability</t>
        </is>
      </c>
      <c r="G54" t="n">
        <v>5</v>
      </c>
      <c r="H54" t="inlineStr">
        <is>
          <t>10.1007/s43621-025-02507-9</t>
        </is>
      </c>
      <c r="I54" t="inlineStr">
        <is>
          <t>South Asia</t>
        </is>
      </c>
      <c r="J54" t="inlineStr">
        <is>
          <t>India</t>
        </is>
      </c>
      <c r="K54" t="inlineStr">
        <is>
          <t>B5:india; B5:recent</t>
        </is>
      </c>
      <c r="L54" t="inlineStr"/>
      <c r="M54" t="inlineStr"/>
    </row>
    <row r="55">
      <c r="A55" t="inlineStr">
        <is>
          <t>LM00201</t>
        </is>
      </c>
      <c r="B55" t="inlineStr">
        <is>
          <t>B5</t>
        </is>
      </c>
      <c r="C55" t="inlineStr">
        <is>
          <t>Scalable Digital Solutions from India’s Aadhaar and UPI Frameworks</t>
        </is>
      </c>
      <c r="D55" t="n">
        <v>2025</v>
      </c>
      <c r="E55" t="inlineStr">
        <is>
          <t>Murali Krishna Pasupuleti</t>
        </is>
      </c>
      <c r="F55" t="inlineStr">
        <is>
          <t>International Journal of Academic and Industrial Research Innovations(IJAIRI)</t>
        </is>
      </c>
      <c r="G55" t="n">
        <v>2</v>
      </c>
      <c r="H55" t="inlineStr">
        <is>
          <t>10.62311/nesx/rp2325</t>
        </is>
      </c>
      <c r="I55" t="inlineStr">
        <is>
          <t>South Asia</t>
        </is>
      </c>
      <c r="J55" t="inlineStr">
        <is>
          <t>India</t>
        </is>
      </c>
      <c r="K55" t="inlineStr">
        <is>
          <t>B5:recent</t>
        </is>
      </c>
      <c r="L55" t="inlineStr"/>
      <c r="M55" t="inlineStr"/>
    </row>
    <row r="56">
      <c r="A56" t="inlineStr">
        <is>
          <t>LM00204</t>
        </is>
      </c>
      <c r="B56" t="inlineStr">
        <is>
          <t>B5</t>
        </is>
      </c>
      <c r="C56" t="inlineStr">
        <is>
          <t>HyperVerge, Aadhaar, and Surveillance Capitalism in India</t>
        </is>
      </c>
      <c r="D56" t="n">
        <v>2025</v>
      </c>
      <c r="E56" t="inlineStr">
        <is>
          <t>Haakon Huynh</t>
        </is>
      </c>
      <c r="F56" t="inlineStr">
        <is>
          <t>SSRN Electronic Journal</t>
        </is>
      </c>
      <c r="G56" t="n">
        <v>2</v>
      </c>
      <c r="H56" t="inlineStr">
        <is>
          <t>10.2139/ssrn.5285721</t>
        </is>
      </c>
      <c r="I56" t="inlineStr">
        <is>
          <t>South Asia</t>
        </is>
      </c>
      <c r="J56" t="inlineStr">
        <is>
          <t>India</t>
        </is>
      </c>
      <c r="K56" t="inlineStr">
        <is>
          <t>B5:india; B5:recent</t>
        </is>
      </c>
      <c r="L56" t="inlineStr"/>
      <c r="M56" t="inlineStr"/>
    </row>
    <row r="57">
      <c r="A57" t="inlineStr">
        <is>
          <t>LM00209</t>
        </is>
      </c>
      <c r="B57" t="inlineStr">
        <is>
          <t>B5</t>
        </is>
      </c>
      <c r="C57" t="inlineStr">
        <is>
          <t>Digital ID as a governance game-changer in African democracies: A comparative analysis of Ghana, Nigeria, and India</t>
        </is>
      </c>
      <c r="D57" t="n">
        <v>2025</v>
      </c>
      <c r="E57" t="inlineStr">
        <is>
          <t>Simon Suwanzy Dzreke; Semefa Elikplim Dzreke; Evans Dzreke; Franklin Manasey Dzreke</t>
        </is>
      </c>
      <c r="F57" t="inlineStr">
        <is>
          <t>Advanced Research Journal</t>
        </is>
      </c>
      <c r="G57" t="n">
        <v>1</v>
      </c>
      <c r="H57" t="inlineStr">
        <is>
          <t>10.71350/3062192579</t>
        </is>
      </c>
      <c r="I57" t="inlineStr">
        <is>
          <t>Multi-region</t>
        </is>
      </c>
      <c r="J57" t="inlineStr">
        <is>
          <t>Africa; African; Ghana; India; Kenya; Nigeria; Rwanda</t>
        </is>
      </c>
      <c r="K57" t="inlineStr">
        <is>
          <t>B5:recent</t>
        </is>
      </c>
      <c r="L57" t="inlineStr"/>
      <c r="M57" t="inlineStr"/>
    </row>
    <row r="58">
      <c r="A58" t="inlineStr">
        <is>
          <t>LM00214</t>
        </is>
      </c>
      <c r="B58" t="inlineStr">
        <is>
          <t>B5</t>
        </is>
      </c>
      <c r="C58" t="inlineStr">
        <is>
          <t>India’s digital public infrastructure: Analyzing UPI and Aadhaar in GDP growth and cost optimization</t>
        </is>
      </c>
      <c r="D58" t="n">
        <v>2025</v>
      </c>
      <c r="E58" t="inlineStr">
        <is>
          <t>Aniket Thukral; Lakshit Dagar</t>
        </is>
      </c>
      <c r="F58" t="inlineStr">
        <is>
          <t>Journal of Emerging Investigators</t>
        </is>
      </c>
      <c r="G58" t="n">
        <v>0</v>
      </c>
      <c r="H58" t="inlineStr">
        <is>
          <t>10.59720/25-046</t>
        </is>
      </c>
      <c r="I58" t="inlineStr">
        <is>
          <t>South Asia</t>
        </is>
      </c>
      <c r="J58" t="inlineStr">
        <is>
          <t>India</t>
        </is>
      </c>
      <c r="K58" t="inlineStr">
        <is>
          <t>B5:recent</t>
        </is>
      </c>
      <c r="L58" t="inlineStr"/>
      <c r="M58" t="inlineStr"/>
    </row>
    <row r="59">
      <c r="A59" t="inlineStr">
        <is>
          <t>LM00224</t>
        </is>
      </c>
      <c r="B59" t="inlineStr">
        <is>
          <t>B5</t>
        </is>
      </c>
      <c r="C59" t="inlineStr">
        <is>
          <t>India's Digital Public Infrastructure (DPI) and Digital Sovereignty in the Global Political Economy</t>
        </is>
      </c>
      <c r="D59" t="n">
        <v>2025</v>
      </c>
      <c r="E59" t="inlineStr">
        <is>
          <t>Ajeet Kumar Sahoo; Ankit Anand</t>
        </is>
      </c>
      <c r="F59" t="inlineStr">
        <is>
          <t>Public Affairs And Governance</t>
        </is>
      </c>
      <c r="G59" t="n">
        <v>0</v>
      </c>
      <c r="H59" t="inlineStr">
        <is>
          <t>10.5958/2321-2136.2025.00008.6</t>
        </is>
      </c>
      <c r="I59" t="inlineStr">
        <is>
          <t>South Asia</t>
        </is>
      </c>
      <c r="J59" t="inlineStr">
        <is>
          <t>India</t>
        </is>
      </c>
      <c r="K59" t="inlineStr">
        <is>
          <t>B5:recent</t>
        </is>
      </c>
      <c r="L59" t="inlineStr"/>
      <c r="M59" t="inlineStr"/>
    </row>
    <row r="60">
      <c r="A60" t="inlineStr">
        <is>
          <t>LM00200</t>
        </is>
      </c>
      <c r="B60" t="inlineStr">
        <is>
          <t>B5</t>
        </is>
      </c>
      <c r="C60" t="inlineStr">
        <is>
          <t>Citizenship in India: Parsing the Complexity of Digital Identity Systems</t>
        </is>
      </c>
      <c r="D60" t="n">
        <v>2024</v>
      </c>
      <c r="E60" t="inlineStr">
        <is>
          <t>Vidya K. Subramanian</t>
        </is>
      </c>
      <c r="F60" t="inlineStr">
        <is>
          <t>Science Technology and Society</t>
        </is>
      </c>
      <c r="G60" t="n">
        <v>2</v>
      </c>
      <c r="H60" t="inlineStr">
        <is>
          <t>10.1177/09717218241281940</t>
        </is>
      </c>
      <c r="I60" t="inlineStr">
        <is>
          <t>South Asia</t>
        </is>
      </c>
      <c r="J60" t="inlineStr">
        <is>
          <t>India</t>
        </is>
      </c>
      <c r="K60" t="inlineStr">
        <is>
          <t>B5:india; B5:recent</t>
        </is>
      </c>
      <c r="L60" t="inlineStr"/>
      <c r="M60" t="inlineStr"/>
    </row>
    <row r="61">
      <c r="A61" t="inlineStr">
        <is>
          <t>LM00208</t>
        </is>
      </c>
      <c r="B61" t="inlineStr">
        <is>
          <t>B5</t>
        </is>
      </c>
      <c r="C61" t="inlineStr">
        <is>
          <t>Debunking the Idea of a Single (Digital) Identifier: The Case of Identification Documents for Transgender Persons in India</t>
        </is>
      </c>
      <c r="D61" t="n">
        <v>2024</v>
      </c>
      <c r="E61" t="inlineStr">
        <is>
          <t>K. Brindaalakshmi</t>
        </is>
      </c>
      <c r="F61" t="inlineStr">
        <is>
          <t>Journal of Development Policy and Practice</t>
        </is>
      </c>
      <c r="G61" t="n">
        <v>1</v>
      </c>
      <c r="H61" t="inlineStr">
        <is>
          <t>10.1177/24551333241247673</t>
        </is>
      </c>
      <c r="I61" t="inlineStr">
        <is>
          <t>South Asia</t>
        </is>
      </c>
      <c r="J61" t="inlineStr">
        <is>
          <t>India</t>
        </is>
      </c>
      <c r="K61" t="inlineStr">
        <is>
          <t>B5:recent</t>
        </is>
      </c>
      <c r="L61" t="inlineStr"/>
      <c r="M61" t="inlineStr"/>
    </row>
    <row r="62">
      <c r="A62" t="inlineStr">
        <is>
          <t>LM00222</t>
        </is>
      </c>
      <c r="B62" t="inlineStr">
        <is>
          <t>B5</t>
        </is>
      </c>
      <c r="C62" t="inlineStr">
        <is>
          <t>Dreams of a Digital India: Imaginaries of the India Stack project</t>
        </is>
      </c>
      <c r="D62" t="n">
        <v>2024</v>
      </c>
      <c r="E62" t="inlineStr">
        <is>
          <t>Manasa Jagadeesh</t>
        </is>
      </c>
      <c r="F62" t="inlineStr"/>
      <c r="G62" t="n">
        <v>0</v>
      </c>
      <c r="H62" t="inlineStr">
        <is>
          <t>10.7302/dspace/30226</t>
        </is>
      </c>
      <c r="I62" t="inlineStr">
        <is>
          <t>South Asia</t>
        </is>
      </c>
      <c r="J62" t="inlineStr">
        <is>
          <t>India</t>
        </is>
      </c>
      <c r="K62" t="inlineStr">
        <is>
          <t>B5:recent</t>
        </is>
      </c>
      <c r="L62" t="inlineStr"/>
      <c r="M62" t="inlineStr"/>
    </row>
    <row r="63">
      <c r="A63" t="inlineStr">
        <is>
          <t>LM00161</t>
        </is>
      </c>
      <c r="B63" t="inlineStr">
        <is>
          <t>B5</t>
        </is>
      </c>
      <c r="C63" t="inlineStr">
        <is>
          <t>The Ayushman Bharat Digital Mission (ABDM): making of India’s Digital Health Story</t>
        </is>
      </c>
      <c r="D63" t="n">
        <v>2023</v>
      </c>
      <c r="E63" t="inlineStr">
        <is>
          <t>R. S. Sharma; Aishwarya Rohatgi; Sandeep K Jain; Dilip Singh</t>
        </is>
      </c>
      <c r="F63" t="inlineStr">
        <is>
          <t>CSI Transactions on ICT</t>
        </is>
      </c>
      <c r="G63" t="n">
        <v>93</v>
      </c>
      <c r="H63" t="inlineStr">
        <is>
          <t>10.1007/s40012-023-00375-0</t>
        </is>
      </c>
      <c r="I63" t="inlineStr">
        <is>
          <t>South Asia</t>
        </is>
      </c>
      <c r="J63" t="inlineStr">
        <is>
          <t>India</t>
        </is>
      </c>
      <c r="K63" t="inlineStr">
        <is>
          <t>B5:landmarks</t>
        </is>
      </c>
      <c r="L63" t="inlineStr"/>
      <c r="M63" t="inlineStr"/>
    </row>
    <row r="64">
      <c r="A64" t="inlineStr">
        <is>
          <t>LM00180</t>
        </is>
      </c>
      <c r="B64" t="inlineStr">
        <is>
          <t>B5</t>
        </is>
      </c>
      <c r="C64" t="inlineStr">
        <is>
          <t>Stacking up the Benefits: Lessons from India’s Digital Journey</t>
        </is>
      </c>
      <c r="D64" t="n">
        <v>2023</v>
      </c>
      <c r="E64" t="inlineStr">
        <is>
          <t>Cristian Alonso; Tanuj Bhojwani; Emine Hanedar; Dinar Prihardini; Gerardo Uña; Kateryna Zhabska</t>
        </is>
      </c>
      <c r="F64" t="inlineStr">
        <is>
          <t>IMF Working Paper</t>
        </is>
      </c>
      <c r="G64" t="n">
        <v>52</v>
      </c>
      <c r="H64" t="inlineStr">
        <is>
          <t>10.5089/9798400240416.001</t>
        </is>
      </c>
      <c r="I64" t="inlineStr">
        <is>
          <t>South Asia</t>
        </is>
      </c>
      <c r="J64" t="inlineStr">
        <is>
          <t>India</t>
        </is>
      </c>
      <c r="K64" t="inlineStr">
        <is>
          <t>B5:india; B5:recent</t>
        </is>
      </c>
      <c r="L64" t="inlineStr"/>
      <c r="M64" t="inlineStr"/>
    </row>
    <row r="65">
      <c r="A65" t="inlineStr">
        <is>
          <t>LM00199</t>
        </is>
      </c>
      <c r="B65" t="inlineStr">
        <is>
          <t>B5</t>
        </is>
      </c>
      <c r="C65" t="inlineStr">
        <is>
          <t>The digital delivery of welfare services in India: Achievements, anomalies and lessons learnt</t>
        </is>
      </c>
      <c r="D65" t="n">
        <v>2023</v>
      </c>
      <c r="E65" t="inlineStr">
        <is>
          <t>Aishwarya Sivaramakrishnan; Sony Pellissery</t>
        </is>
      </c>
      <c r="F65" t="inlineStr">
        <is>
          <t>Edward Elgar Publishing eBooks</t>
        </is>
      </c>
      <c r="G65" t="n">
        <v>2</v>
      </c>
      <c r="H65" t="inlineStr">
        <is>
          <t>10.4337/9781800378421.00044</t>
        </is>
      </c>
      <c r="I65" t="inlineStr">
        <is>
          <t>South Asia</t>
        </is>
      </c>
      <c r="J65" t="inlineStr">
        <is>
          <t>India</t>
        </is>
      </c>
      <c r="K65" t="inlineStr">
        <is>
          <t>B5:india; B5:recent</t>
        </is>
      </c>
      <c r="L65" t="inlineStr"/>
      <c r="M65" t="inlineStr"/>
    </row>
    <row r="66">
      <c r="A66" t="inlineStr">
        <is>
          <t>LM00246</t>
        </is>
      </c>
      <c r="B66" t="inlineStr">
        <is>
          <t>B5</t>
        </is>
      </c>
      <c r="C66" t="inlineStr">
        <is>
          <t>Legal And Ethical Considerations of Managing Identities, Ranging from Aadhaar to Global Digital Ids</t>
        </is>
      </c>
      <c r="D66" t="n">
        <v>2023</v>
      </c>
      <c r="E66" t="inlineStr">
        <is>
          <t>Petikam Sailaja</t>
        </is>
      </c>
      <c r="F66" t="inlineStr">
        <is>
          <t>Anusandhanvallari</t>
        </is>
      </c>
      <c r="G66" t="n">
        <v>0</v>
      </c>
      <c r="H66" t="inlineStr"/>
      <c r="I66" t="inlineStr">
        <is>
          <t>Multi-region</t>
        </is>
      </c>
      <c r="J66" t="inlineStr">
        <is>
          <t>European; India</t>
        </is>
      </c>
      <c r="K66" t="inlineStr">
        <is>
          <t>B5:recent</t>
        </is>
      </c>
      <c r="L66" t="inlineStr"/>
      <c r="M66" t="inlineStr"/>
    </row>
    <row r="67">
      <c r="A67" t="inlineStr">
        <is>
          <t>LM00194</t>
        </is>
      </c>
      <c r="B67" t="inlineStr">
        <is>
          <t>B5</t>
        </is>
      </c>
      <c r="C67" t="inlineStr">
        <is>
          <t>Digital Public Services: The Development of Biometric Authentication in India</t>
        </is>
      </c>
      <c r="D67" t="n">
        <v>2022</v>
      </c>
      <c r="E67" t="inlineStr">
        <is>
          <t>Ashwin Nair; Burak Eskici</t>
        </is>
      </c>
      <c r="F67" t="inlineStr">
        <is>
          <t>Springer eBooks</t>
        </is>
      </c>
      <c r="G67" t="n">
        <v>6</v>
      </c>
      <c r="H67" t="inlineStr">
        <is>
          <t>10.1007/978-3-030-86065-3_20</t>
        </is>
      </c>
      <c r="I67" t="inlineStr">
        <is>
          <t>South Asia</t>
        </is>
      </c>
      <c r="J67" t="inlineStr">
        <is>
          <t>Andhra Pradesh; India; Jharkhand</t>
        </is>
      </c>
      <c r="K67" t="inlineStr">
        <is>
          <t>B5:india; B5:recent</t>
        </is>
      </c>
      <c r="L67" t="inlineStr"/>
      <c r="M67" t="inlineStr"/>
    </row>
    <row r="68">
      <c r="A68" t="inlineStr">
        <is>
          <t>LM00162</t>
        </is>
      </c>
      <c r="B68" t="inlineStr">
        <is>
          <t>B5</t>
        </is>
      </c>
      <c r="C68" t="inlineStr">
        <is>
          <t>Data protection regulation</t>
        </is>
      </c>
      <c r="D68" t="n">
        <v>2021</v>
      </c>
      <c r="E68" t="inlineStr">
        <is>
          <t>Malavika Raghavan</t>
        </is>
      </c>
      <c r="F68" t="inlineStr">
        <is>
          <t>Routledge eBooks</t>
        </is>
      </c>
      <c r="G68" t="n">
        <v>88</v>
      </c>
      <c r="H68" t="inlineStr">
        <is>
          <t>10.4324/9781003093442-11</t>
        </is>
      </c>
      <c r="I68" t="inlineStr">
        <is>
          <t>Multi-region</t>
        </is>
      </c>
      <c r="J68" t="inlineStr">
        <is>
          <t>European; India; United States</t>
        </is>
      </c>
      <c r="K68" t="inlineStr">
        <is>
          <t>B5:landmarks</t>
        </is>
      </c>
      <c r="L68" t="inlineStr"/>
      <c r="M68" t="inlineStr"/>
    </row>
    <row r="69">
      <c r="A69" t="inlineStr">
        <is>
          <t>LM00178</t>
        </is>
      </c>
      <c r="B69" t="inlineStr">
        <is>
          <t>B5</t>
        </is>
      </c>
      <c r="C69" t="inlineStr">
        <is>
          <t>Seeing Like an Infrastructure: Low-resolution Citizens and the Aadhaar Identification Project</t>
        </is>
      </c>
      <c r="D69" t="n">
        <v>2021</v>
      </c>
      <c r="E69" t="inlineStr">
        <is>
          <t>Ranjit Singh; Steven J. Jackson</t>
        </is>
      </c>
      <c r="F69" t="inlineStr">
        <is>
          <t>Proceedings of the ACM on Human-Computer Interaction</t>
        </is>
      </c>
      <c r="G69" t="n">
        <v>56</v>
      </c>
      <c r="H69" t="inlineStr">
        <is>
          <t>10.1145/3476056</t>
        </is>
      </c>
      <c r="I69" t="inlineStr">
        <is>
          <t>South Asia</t>
        </is>
      </c>
      <c r="J69" t="inlineStr">
        <is>
          <t>India</t>
        </is>
      </c>
      <c r="K69" t="inlineStr">
        <is>
          <t>B5:india</t>
        </is>
      </c>
      <c r="L69" t="inlineStr"/>
      <c r="M69" t="inlineStr"/>
    </row>
    <row r="70">
      <c r="A70" t="inlineStr">
        <is>
          <t>LM00188</t>
        </is>
      </c>
      <c r="B70" t="inlineStr">
        <is>
          <t>B5</t>
        </is>
      </c>
      <c r="C70" t="inlineStr">
        <is>
          <t>Aadhaar in a Box? Legitimizing Digital Identity in Times of Crisis</t>
        </is>
      </c>
      <c r="D70" t="n">
        <v>2021</v>
      </c>
      <c r="E70" t="inlineStr">
        <is>
          <t>Aaron Martin</t>
        </is>
      </c>
      <c r="F70" t="inlineStr">
        <is>
          <t>Surveillance &amp; Society</t>
        </is>
      </c>
      <c r="G70" t="n">
        <v>23</v>
      </c>
      <c r="H70" t="inlineStr">
        <is>
          <t>10.24908/ss.v19i1.14547</t>
        </is>
      </c>
      <c r="I70" t="inlineStr">
        <is>
          <t>South Asia</t>
        </is>
      </c>
      <c r="J70" t="inlineStr">
        <is>
          <t>India</t>
        </is>
      </c>
      <c r="K70" t="inlineStr">
        <is>
          <t>B5:india</t>
        </is>
      </c>
      <c r="L70" t="inlineStr"/>
      <c r="M70" t="inlineStr"/>
    </row>
    <row r="71">
      <c r="A71" t="inlineStr">
        <is>
          <t>LM00196</t>
        </is>
      </c>
      <c r="B71" t="inlineStr">
        <is>
          <t>B5</t>
        </is>
      </c>
      <c r="C71" t="inlineStr">
        <is>
          <t>Digital Identity in India</t>
        </is>
      </c>
      <c r="D71" t="n">
        <v>2021</v>
      </c>
      <c r="E71" t="inlineStr">
        <is>
          <t>Bhagwan Chowdhry; Amit Goyal; Syed Anas Ahmed</t>
        </is>
      </c>
      <c r="F71" t="inlineStr">
        <is>
          <t>Springer eBooks</t>
        </is>
      </c>
      <c r="G71" t="n">
        <v>5</v>
      </c>
      <c r="H71" t="inlineStr">
        <is>
          <t>10.1007/978-3-030-65117-6_30</t>
        </is>
      </c>
      <c r="I71" t="inlineStr">
        <is>
          <t>South Asia</t>
        </is>
      </c>
      <c r="J71" t="inlineStr">
        <is>
          <t>India</t>
        </is>
      </c>
      <c r="K71" t="inlineStr">
        <is>
          <t>B5:india</t>
        </is>
      </c>
      <c r="L71" t="inlineStr"/>
      <c r="M71" t="inlineStr"/>
    </row>
    <row r="72">
      <c r="A72" t="inlineStr">
        <is>
          <t>LM00226</t>
        </is>
      </c>
      <c r="B72" t="inlineStr">
        <is>
          <t>B5</t>
        </is>
      </c>
      <c r="C72" t="inlineStr">
        <is>
          <t>Privacy vs protection : mapping crucial challenges in implementing the ICT4D agenda in Global South - Case analysis of India's Aadhaar program</t>
        </is>
      </c>
      <c r="D72" t="n">
        <v>2021</v>
      </c>
      <c r="E72" t="inlineStr">
        <is>
          <t>Aslesha Tummalapalli</t>
        </is>
      </c>
      <c r="F72" t="inlineStr">
        <is>
          <t>Open Research (Auckland University of Technology)</t>
        </is>
      </c>
      <c r="G72" t="n">
        <v>0</v>
      </c>
      <c r="H72" t="inlineStr">
        <is>
          <t>10.60644/10085</t>
        </is>
      </c>
      <c r="I72" t="inlineStr">
        <is>
          <t>Multi-region</t>
        </is>
      </c>
      <c r="J72" t="inlineStr">
        <is>
          <t>India; Milan</t>
        </is>
      </c>
      <c r="K72" t="inlineStr">
        <is>
          <t>B5:india</t>
        </is>
      </c>
      <c r="L72" t="inlineStr"/>
      <c r="M72" t="inlineStr"/>
    </row>
    <row r="73">
      <c r="A73" t="inlineStr">
        <is>
          <t>LM00149</t>
        </is>
      </c>
      <c r="B73" t="inlineStr">
        <is>
          <t>B5</t>
        </is>
      </c>
      <c r="C73" t="inlineStr">
        <is>
          <t>The Rise of Digital Financialisation: The Case of India</t>
        </is>
      </c>
      <c r="D73" t="n">
        <v>2020</v>
      </c>
      <c r="E73" t="inlineStr">
        <is>
          <t>Sudeep Jain; Daniela Gabor</t>
        </is>
      </c>
      <c r="F73" t="inlineStr">
        <is>
          <t>New Political Economy</t>
        </is>
      </c>
      <c r="G73" t="n">
        <v>116</v>
      </c>
      <c r="H73" t="inlineStr">
        <is>
          <t>10.1080/13563467.2019.1708879</t>
        </is>
      </c>
      <c r="I73" t="inlineStr">
        <is>
          <t>South Asia</t>
        </is>
      </c>
      <c r="J73" t="inlineStr">
        <is>
          <t>India</t>
        </is>
      </c>
      <c r="K73" t="inlineStr">
        <is>
          <t>B5:landmarks</t>
        </is>
      </c>
      <c r="L73" t="inlineStr"/>
      <c r="M73" t="inlineStr"/>
    </row>
    <row r="74">
      <c r="A74" t="inlineStr">
        <is>
          <t>LM00184</t>
        </is>
      </c>
      <c r="B74" t="inlineStr">
        <is>
          <t>B5</t>
        </is>
      </c>
      <c r="C74" t="inlineStr">
        <is>
          <t>Digital identity, datafication and social justice: understanding Aadhaar use among informal workers in south India</t>
        </is>
      </c>
      <c r="D74" t="n">
        <v>2020</v>
      </c>
      <c r="E74" t="inlineStr">
        <is>
          <t>Shyam Krishna</t>
        </is>
      </c>
      <c r="F74" t="inlineStr">
        <is>
          <t>Information Technology for Development</t>
        </is>
      </c>
      <c r="G74" t="n">
        <v>35</v>
      </c>
      <c r="H74" t="inlineStr">
        <is>
          <t>10.1080/02681102.2020.1818544</t>
        </is>
      </c>
      <c r="I74" t="inlineStr">
        <is>
          <t>South Asia</t>
        </is>
      </c>
      <c r="J74" t="inlineStr">
        <is>
          <t>India</t>
        </is>
      </c>
      <c r="K74" t="inlineStr">
        <is>
          <t>B5:india</t>
        </is>
      </c>
      <c r="L74" t="inlineStr"/>
      <c r="M74" t="inlineStr"/>
    </row>
    <row r="75">
      <c r="A75" t="inlineStr">
        <is>
          <t>LM00187</t>
        </is>
      </c>
      <c r="B75" t="inlineStr">
        <is>
          <t>B5</t>
        </is>
      </c>
      <c r="C75" t="inlineStr">
        <is>
          <t>Biometric Infrastructures and the Indian Public Distribution System</t>
        </is>
      </c>
      <c r="D75" t="n">
        <v>2020</v>
      </c>
      <c r="E75" t="inlineStr">
        <is>
          <t>Silvia Masiero</t>
        </is>
      </c>
      <c r="F75" t="inlineStr">
        <is>
          <t>South Asia Multidisciplinary Academic Journal</t>
        </is>
      </c>
      <c r="G75" t="n">
        <v>27</v>
      </c>
      <c r="H75" t="inlineStr">
        <is>
          <t>10.4000/samaj.6459</t>
        </is>
      </c>
      <c r="I75" t="inlineStr">
        <is>
          <t>South Asia</t>
        </is>
      </c>
      <c r="J75" t="inlineStr">
        <is>
          <t>India; Karnataka; Kerala; South Asia</t>
        </is>
      </c>
      <c r="K75" t="inlineStr">
        <is>
          <t>B5:india</t>
        </is>
      </c>
      <c r="L75" t="inlineStr"/>
      <c r="M75" t="inlineStr"/>
    </row>
    <row r="76">
      <c r="A76" t="inlineStr">
        <is>
          <t>LM00190</t>
        </is>
      </c>
      <c r="B76" t="inlineStr">
        <is>
          <t>B5</t>
        </is>
      </c>
      <c r="C76" t="inlineStr">
        <is>
          <t>Grappling with Aadhaar: Biometrics, Social Identity and the Indian State</t>
        </is>
      </c>
      <c r="D76" t="n">
        <v>2020</v>
      </c>
      <c r="E76" t="inlineStr">
        <is>
          <t>Silvia Masiero; S. Shakthi</t>
        </is>
      </c>
      <c r="F76" t="inlineStr">
        <is>
          <t>South Asia Multidisciplinary Academic Journal</t>
        </is>
      </c>
      <c r="G76" t="n">
        <v>20</v>
      </c>
      <c r="H76" t="inlineStr">
        <is>
          <t>10.4000/samaj.6279</t>
        </is>
      </c>
      <c r="I76" t="inlineStr">
        <is>
          <t>South Asia</t>
        </is>
      </c>
      <c r="J76" t="inlineStr">
        <is>
          <t>India</t>
        </is>
      </c>
      <c r="K76" t="inlineStr">
        <is>
          <t>B5:india</t>
        </is>
      </c>
      <c r="L76" t="inlineStr"/>
      <c r="M76" t="inlineStr"/>
    </row>
    <row r="77">
      <c r="A77" t="inlineStr">
        <is>
          <t>LM00191</t>
        </is>
      </c>
      <c r="B77" t="inlineStr">
        <is>
          <t>B5</t>
        </is>
      </c>
      <c r="C77" t="inlineStr">
        <is>
          <t>‘Without an Aadhaar card nothing could be done’: a mixed methods study of biometric identification and birth registration for children in Varanasi, India</t>
        </is>
      </c>
      <c r="D77" t="n">
        <v>2020</v>
      </c>
      <c r="E77" t="inlineStr">
        <is>
          <t>Amiya Bhatia; Elizabeth Donger; Jacqueline Bhabha</t>
        </is>
      </c>
      <c r="F77" t="inlineStr">
        <is>
          <t>Information Technology for Development</t>
        </is>
      </c>
      <c r="G77" t="n">
        <v>19</v>
      </c>
      <c r="H77" t="inlineStr">
        <is>
          <t>10.1080/02681102.2020.1840325</t>
        </is>
      </c>
      <c r="I77" t="inlineStr">
        <is>
          <t>South Asia</t>
        </is>
      </c>
      <c r="J77" t="inlineStr">
        <is>
          <t>India; Varanasi</t>
        </is>
      </c>
      <c r="K77" t="inlineStr">
        <is>
          <t>B5:india</t>
        </is>
      </c>
      <c r="L77" t="inlineStr"/>
      <c r="M77" t="inlineStr"/>
    </row>
    <row r="78">
      <c r="A78" t="inlineStr">
        <is>
          <t>LM00193</t>
        </is>
      </c>
      <c r="B78" t="inlineStr">
        <is>
          <t>B5</t>
        </is>
      </c>
      <c r="C78" t="inlineStr">
        <is>
          <t>Digital Identity and Exclusion in Welfare</t>
        </is>
      </c>
      <c r="D78" t="n">
        <v>2020</v>
      </c>
      <c r="E78" t="inlineStr">
        <is>
          <t>Hartej Singh Hundal; Bidisha Chaudhuri</t>
        </is>
      </c>
      <c r="F78" t="inlineStr">
        <is>
          <t>International Conference on Information and Communication Technologies and Development (ICTD)</t>
        </is>
      </c>
      <c r="G78" t="n">
        <v>11</v>
      </c>
      <c r="H78" t="inlineStr">
        <is>
          <t>10.1145/3392561.3397583</t>
        </is>
      </c>
      <c r="I78" t="inlineStr">
        <is>
          <t>South Asia</t>
        </is>
      </c>
      <c r="J78" t="inlineStr">
        <is>
          <t>Andhra Pradesh; India; Karnataka</t>
        </is>
      </c>
      <c r="K78" t="inlineStr">
        <is>
          <t>B5:india</t>
        </is>
      </c>
      <c r="L78" t="inlineStr"/>
      <c r="M78" t="inlineStr"/>
    </row>
    <row r="79">
      <c r="A79" t="inlineStr">
        <is>
          <t>LM00228</t>
        </is>
      </c>
      <c r="B79" t="inlineStr">
        <is>
          <t>B5</t>
        </is>
      </c>
      <c r="C79" t="inlineStr">
        <is>
          <t>India: Aadhaar Unmasked - The UID Number and Threat of exclusion, and of surveillance – South Asia Citizens Web</t>
        </is>
      </c>
      <c r="D79" t="n">
        <v>2020</v>
      </c>
      <c r="E79" t="inlineStr">
        <is>
          <t>Usha Ramanathan</t>
        </is>
      </c>
      <c r="F79" t="inlineStr"/>
      <c r="G79" t="n">
        <v>0</v>
      </c>
      <c r="H79" t="inlineStr"/>
      <c r="I79" t="inlineStr">
        <is>
          <t>South Asia</t>
        </is>
      </c>
      <c r="J79" t="inlineStr">
        <is>
          <t>India; South Asia</t>
        </is>
      </c>
      <c r="K79" t="inlineStr">
        <is>
          <t>B5:india</t>
        </is>
      </c>
      <c r="L79" t="inlineStr"/>
      <c r="M79" t="inlineStr"/>
    </row>
    <row r="80">
      <c r="A80" t="inlineStr">
        <is>
          <t>LM00229</t>
        </is>
      </c>
      <c r="B80" t="inlineStr">
        <is>
          <t>B5</t>
        </is>
      </c>
      <c r="C80" t="inlineStr">
        <is>
          <t>Biometric Identification Systems for Welfare Distributions: A Case Study of Aadhaar</t>
        </is>
      </c>
      <c r="D80" t="n">
        <v>2020</v>
      </c>
      <c r="E80" t="inlineStr">
        <is>
          <t>Caroline Schauder</t>
        </is>
      </c>
      <c r="F80" t="inlineStr">
        <is>
          <t>DigitalGeorgetown (Georgetown University Library)</t>
        </is>
      </c>
      <c r="G80" t="n">
        <v>0</v>
      </c>
      <c r="H80" t="inlineStr"/>
      <c r="I80" t="inlineStr">
        <is>
          <t>South Asia</t>
        </is>
      </c>
      <c r="J80" t="inlineStr">
        <is>
          <t>India; Mumbai</t>
        </is>
      </c>
      <c r="K80" t="inlineStr">
        <is>
          <t>B5:india</t>
        </is>
      </c>
      <c r="L80" t="inlineStr"/>
      <c r="M80" t="inlineStr"/>
    </row>
    <row r="81">
      <c r="A81" t="inlineStr">
        <is>
          <t>LM00145</t>
        </is>
      </c>
      <c r="B81" t="inlineStr">
        <is>
          <t>B5</t>
        </is>
      </c>
      <c r="C81" t="inlineStr">
        <is>
          <t>Aadhaar: Governing with Biometrics</t>
        </is>
      </c>
      <c r="D81" t="n">
        <v>2019</v>
      </c>
      <c r="E81" t="inlineStr">
        <is>
          <t>Ursula Rao; Vijayanka Nair</t>
        </is>
      </c>
      <c r="F81" t="inlineStr">
        <is>
          <t>South Asia Journal of South Asian Studies</t>
        </is>
      </c>
      <c r="G81" t="n">
        <v>156</v>
      </c>
      <c r="H81" t="inlineStr">
        <is>
          <t>10.1080/00856401.2019.1595343</t>
        </is>
      </c>
      <c r="I81" t="inlineStr">
        <is>
          <t>South Asia</t>
        </is>
      </c>
      <c r="J81" t="inlineStr">
        <is>
          <t>India</t>
        </is>
      </c>
      <c r="K81" t="inlineStr">
        <is>
          <t>B5:landmarks</t>
        </is>
      </c>
      <c r="L81" t="inlineStr"/>
      <c r="M81" t="inlineStr"/>
    </row>
    <row r="82">
      <c r="A82" t="inlineStr">
        <is>
          <t>LM00153</t>
        </is>
      </c>
      <c r="B82" t="inlineStr">
        <is>
          <t>B5</t>
        </is>
      </c>
      <c r="C82" t="inlineStr">
        <is>
          <t>Datafying anti-poverty programmes: implications for data justice</t>
        </is>
      </c>
      <c r="D82" t="n">
        <v>2019</v>
      </c>
      <c r="E82" t="inlineStr">
        <is>
          <t>Silvia Masiero; Soumyo Das</t>
        </is>
      </c>
      <c r="F82" t="inlineStr">
        <is>
          <t>Information Communication &amp; Society</t>
        </is>
      </c>
      <c r="G82" t="n">
        <v>101</v>
      </c>
      <c r="H82" t="inlineStr">
        <is>
          <t>10.1080/1369118x.2019.1575448</t>
        </is>
      </c>
      <c r="I82" t="inlineStr">
        <is>
          <t>South Asia</t>
        </is>
      </c>
      <c r="J82" t="inlineStr">
        <is>
          <t>India</t>
        </is>
      </c>
      <c r="K82" t="inlineStr">
        <is>
          <t>B5:landmarks</t>
        </is>
      </c>
      <c r="L82" t="inlineStr"/>
      <c r="M82" t="inlineStr"/>
    </row>
    <row r="83">
      <c r="A83" t="inlineStr">
        <is>
          <t>LM00158</t>
        </is>
      </c>
      <c r="B83" t="inlineStr">
        <is>
          <t>B5</t>
        </is>
      </c>
      <c r="C83" t="inlineStr">
        <is>
          <t>Give Me a Database and I Will Raise the Nation-State</t>
        </is>
      </c>
      <c r="D83" t="n">
        <v>2019</v>
      </c>
      <c r="E83" t="inlineStr">
        <is>
          <t>Ranjit Singh</t>
        </is>
      </c>
      <c r="F83" t="inlineStr">
        <is>
          <t>South Asia Journal of South Asian Studies</t>
        </is>
      </c>
      <c r="G83" t="n">
        <v>94</v>
      </c>
      <c r="H83" t="inlineStr">
        <is>
          <t>10.1080/00856401.2019.1602810</t>
        </is>
      </c>
      <c r="I83" t="inlineStr">
        <is>
          <t>South Asia</t>
        </is>
      </c>
      <c r="J83" t="inlineStr">
        <is>
          <t>India</t>
        </is>
      </c>
      <c r="K83" t="inlineStr">
        <is>
          <t>B5:landmarks</t>
        </is>
      </c>
      <c r="L83" t="inlineStr"/>
      <c r="M83" t="inlineStr"/>
    </row>
    <row r="84">
      <c r="A84" t="inlineStr">
        <is>
          <t>LM00159</t>
        </is>
      </c>
      <c r="B84" t="inlineStr">
        <is>
          <t>B5</t>
        </is>
      </c>
      <c r="C84" t="inlineStr">
        <is>
          <t>Realizing digital identity in government: Prioritizing design and implementation objectives for Aadhaar in India</t>
        </is>
      </c>
      <c r="D84" t="n">
        <v>2019</v>
      </c>
      <c r="E84" t="inlineStr">
        <is>
          <t>Umar Bashir Mir; Arpan Kumar Kar; Yogesh Kumar Dwivedi; M.P. Gupta; R.S. Sharma</t>
        </is>
      </c>
      <c r="F84" t="inlineStr">
        <is>
          <t>Government Information Quarterly</t>
        </is>
      </c>
      <c r="G84" t="n">
        <v>94</v>
      </c>
      <c r="H84" t="inlineStr">
        <is>
          <t>10.1016/j.giq.2019.101442</t>
        </is>
      </c>
      <c r="I84" t="inlineStr">
        <is>
          <t>South Asia</t>
        </is>
      </c>
      <c r="J84" t="inlineStr">
        <is>
          <t>India</t>
        </is>
      </c>
      <c r="K84" t="inlineStr">
        <is>
          <t>B5:india; B5:landmarks</t>
        </is>
      </c>
      <c r="L84" t="inlineStr"/>
      <c r="M84" t="inlineStr"/>
    </row>
    <row r="85">
      <c r="A85" t="inlineStr">
        <is>
          <t>LM00164</t>
        </is>
      </c>
      <c r="B85" t="inlineStr">
        <is>
          <t>B5</t>
        </is>
      </c>
      <c r="C85" t="inlineStr">
        <is>
          <t>The ‘Social’ De-Duplicated: On the Aadhaar Platform and the Engineering of Service</t>
        </is>
      </c>
      <c r="D85" t="n">
        <v>2019</v>
      </c>
      <c r="E85" t="inlineStr">
        <is>
          <t>Lawrence Cohen</t>
        </is>
      </c>
      <c r="F85" t="inlineStr">
        <is>
          <t>South Asia Journal of South Asian Studies</t>
        </is>
      </c>
      <c r="G85" t="n">
        <v>84</v>
      </c>
      <c r="H85" t="inlineStr">
        <is>
          <t>10.1080/00856401.2019.1593597</t>
        </is>
      </c>
      <c r="I85" t="inlineStr">
        <is>
          <t>South Asia</t>
        </is>
      </c>
      <c r="J85" t="inlineStr">
        <is>
          <t>India</t>
        </is>
      </c>
      <c r="K85" t="inlineStr">
        <is>
          <t>B5:landmarks</t>
        </is>
      </c>
      <c r="L85" t="inlineStr"/>
      <c r="M85" t="inlineStr"/>
    </row>
    <row r="86">
      <c r="A86" t="inlineStr">
        <is>
          <t>LM00181</t>
        </is>
      </c>
      <c r="B86" t="inlineStr">
        <is>
          <t>B5</t>
        </is>
      </c>
      <c r="C86" t="inlineStr">
        <is>
          <t>Aadhaar and data privacy: biometric identification and anxieties of recognition in India</t>
        </is>
      </c>
      <c r="D86" t="n">
        <v>2019</v>
      </c>
      <c r="E86" t="inlineStr">
        <is>
          <t>Pawan Singh</t>
        </is>
      </c>
      <c r="F86" t="inlineStr">
        <is>
          <t>Information Communication &amp; Society</t>
        </is>
      </c>
      <c r="G86" t="n">
        <v>48</v>
      </c>
      <c r="H86" t="inlineStr">
        <is>
          <t>10.1080/1369118x.2019.1668459</t>
        </is>
      </c>
      <c r="I86" t="inlineStr">
        <is>
          <t>South Asia</t>
        </is>
      </c>
      <c r="J86" t="inlineStr">
        <is>
          <t>India</t>
        </is>
      </c>
      <c r="K86" t="inlineStr">
        <is>
          <t>B5:india</t>
        </is>
      </c>
      <c r="L86" t="inlineStr"/>
      <c r="M86" t="inlineStr"/>
    </row>
    <row r="87">
      <c r="A87" t="inlineStr">
        <is>
          <t>LM00182</t>
        </is>
      </c>
      <c r="B87" t="inlineStr">
        <is>
          <t>B5</t>
        </is>
      </c>
      <c r="C87" t="inlineStr">
        <is>
          <t>India stack---digital infrastructure as public good</t>
        </is>
      </c>
      <c r="D87" t="n">
        <v>2019</v>
      </c>
      <c r="E87" t="inlineStr">
        <is>
          <t>Vivek Raghavan; Sanjay Jain; P. Satya Shekar Varma</t>
        </is>
      </c>
      <c r="F87" t="inlineStr">
        <is>
          <t>Communications of the ACM</t>
        </is>
      </c>
      <c r="G87" t="n">
        <v>48</v>
      </c>
      <c r="H87" t="inlineStr">
        <is>
          <t>10.1145/3355625</t>
        </is>
      </c>
      <c r="I87" t="inlineStr">
        <is>
          <t>South Asia</t>
        </is>
      </c>
      <c r="J87" t="inlineStr">
        <is>
          <t>Bangalore; India</t>
        </is>
      </c>
      <c r="K87" t="inlineStr">
        <is>
          <t>B5:india</t>
        </is>
      </c>
      <c r="L87" t="inlineStr"/>
      <c r="M87" t="inlineStr"/>
    </row>
    <row r="88">
      <c r="A88" t="inlineStr">
        <is>
          <t>LM00183</t>
        </is>
      </c>
      <c r="B88" t="inlineStr">
        <is>
          <t>B5</t>
        </is>
      </c>
      <c r="C88" t="inlineStr">
        <is>
          <t>“Governtrepreneurism” for good governance: The case of Aadhaar and the India Stack</t>
        </is>
      </c>
      <c r="D88" t="n">
        <v>2019</v>
      </c>
      <c r="E88" t="inlineStr">
        <is>
          <t>Kavita Dattani</t>
        </is>
      </c>
      <c r="F88" t="inlineStr">
        <is>
          <t>Area</t>
        </is>
      </c>
      <c r="G88" t="n">
        <v>40</v>
      </c>
      <c r="H88" t="inlineStr">
        <is>
          <t>10.1111/area.12579</t>
        </is>
      </c>
      <c r="I88" t="inlineStr">
        <is>
          <t>Multi-region</t>
        </is>
      </c>
      <c r="J88" t="inlineStr">
        <is>
          <t>European; India</t>
        </is>
      </c>
      <c r="K88" t="inlineStr">
        <is>
          <t>B5:india</t>
        </is>
      </c>
      <c r="L88" t="inlineStr"/>
      <c r="M88" t="inlineStr"/>
    </row>
    <row r="89">
      <c r="A89" t="inlineStr">
        <is>
          <t>LM00186</t>
        </is>
      </c>
      <c r="B89" t="inlineStr">
        <is>
          <t>B5</t>
        </is>
      </c>
      <c r="C89" t="inlineStr">
        <is>
          <t>Population Meets Database: Aligning Personal, Documentary and Digital Identity in Aadhaar-Enabled India</t>
        </is>
      </c>
      <c r="D89" t="n">
        <v>2019</v>
      </c>
      <c r="E89" t="inlineStr">
        <is>
          <t>Ursula Rao</t>
        </is>
      </c>
      <c r="F89" t="inlineStr">
        <is>
          <t>South Asia Journal of South Asian Studies</t>
        </is>
      </c>
      <c r="G89" t="n">
        <v>27</v>
      </c>
      <c r="H89" t="inlineStr">
        <is>
          <t>10.1080/00856401.2019.1594065</t>
        </is>
      </c>
      <c r="I89" t="inlineStr">
        <is>
          <t>South Asia</t>
        </is>
      </c>
      <c r="J89" t="inlineStr">
        <is>
          <t>India</t>
        </is>
      </c>
      <c r="K89" t="inlineStr">
        <is>
          <t>B5:india</t>
        </is>
      </c>
      <c r="L89" t="inlineStr"/>
      <c r="M89" t="inlineStr"/>
    </row>
    <row r="90">
      <c r="A90" t="inlineStr">
        <is>
          <t>LM00189</t>
        </is>
      </c>
      <c r="B90" t="inlineStr">
        <is>
          <t>B5</t>
        </is>
      </c>
      <c r="C90" t="inlineStr">
        <is>
          <t>Technologies of Disintermediation in a Mediated State: Civil Society Organisations and India’s Aadhaar Project</t>
        </is>
      </c>
      <c r="D90" t="n">
        <v>2019</v>
      </c>
      <c r="E90" t="inlineStr">
        <is>
          <t>Parul Baxi</t>
        </is>
      </c>
      <c r="F90" t="inlineStr">
        <is>
          <t>South Asia Journal of South Asian Studies</t>
        </is>
      </c>
      <c r="G90" t="n">
        <v>20</v>
      </c>
      <c r="H90" t="inlineStr">
        <is>
          <t>10.1080/00856401.2019.1602808</t>
        </is>
      </c>
      <c r="I90" t="inlineStr">
        <is>
          <t>South Asia</t>
        </is>
      </c>
      <c r="J90" t="inlineStr">
        <is>
          <t>Ahmedabad; Delhi; India; Mumbai</t>
        </is>
      </c>
      <c r="K90" t="inlineStr">
        <is>
          <t>B5:india</t>
        </is>
      </c>
      <c r="L90" t="inlineStr">
        <is>
          <t>Y</t>
        </is>
      </c>
      <c r="M90" t="inlineStr"/>
    </row>
    <row r="91">
      <c r="A91" t="inlineStr">
        <is>
          <t>LM00202</t>
        </is>
      </c>
      <c r="B91" t="inlineStr">
        <is>
          <t>B5</t>
        </is>
      </c>
      <c r="C91" t="inlineStr">
        <is>
          <t>Biometric IDs and the remaking of the Indian (welfare) state</t>
        </is>
      </c>
      <c r="D91" t="n">
        <v>2019</v>
      </c>
      <c r="E91" t="inlineStr">
        <is>
          <t>Ursula Rao</t>
        </is>
      </c>
      <c r="F91" t="inlineStr">
        <is>
          <t>RePEc: Research Papers in Economics</t>
        </is>
      </c>
      <c r="G91" t="n">
        <v>2</v>
      </c>
      <c r="H91" t="inlineStr"/>
      <c r="I91" t="inlineStr">
        <is>
          <t>South Asia</t>
        </is>
      </c>
      <c r="J91" t="inlineStr">
        <is>
          <t>India</t>
        </is>
      </c>
      <c r="K91" t="inlineStr">
        <is>
          <t>B5:india</t>
        </is>
      </c>
      <c r="L91" t="inlineStr"/>
      <c r="M91" t="inlineStr"/>
    </row>
    <row r="92">
      <c r="A92" t="inlineStr">
        <is>
          <t>LM00206</t>
        </is>
      </c>
      <c r="B92" t="inlineStr">
        <is>
          <t>B5</t>
        </is>
      </c>
      <c r="C92" t="inlineStr">
        <is>
          <t>Sinking Under Its Own Weight: Case of Aadhaar Mediated Entitlements in India</t>
        </is>
      </c>
      <c r="D92" t="n">
        <v>2019</v>
      </c>
      <c r="E92" t="inlineStr">
        <is>
          <t>Arunima Sehgal Mukherjee; Sundeep Sahay</t>
        </is>
      </c>
      <c r="F92" t="inlineStr">
        <is>
          <t>IFIP advances in information and communication technology</t>
        </is>
      </c>
      <c r="G92" t="n">
        <v>1</v>
      </c>
      <c r="H92" t="inlineStr">
        <is>
          <t>10.1007/978-3-030-18400-1_39</t>
        </is>
      </c>
      <c r="I92" t="inlineStr">
        <is>
          <t>South Asia</t>
        </is>
      </c>
      <c r="J92" t="inlineStr">
        <is>
          <t>India</t>
        </is>
      </c>
      <c r="K92" t="inlineStr">
        <is>
          <t>B5:india</t>
        </is>
      </c>
      <c r="L92" t="inlineStr"/>
      <c r="M92" t="inlineStr"/>
    </row>
    <row r="93">
      <c r="A93" t="inlineStr">
        <is>
          <t>LM00192</t>
        </is>
      </c>
      <c r="B93" t="inlineStr">
        <is>
          <t>B5</t>
        </is>
      </c>
      <c r="C93" t="inlineStr">
        <is>
          <t>Explaining trust in large biometric infrastructures: A critical realist case study of India's Aadhaar project</t>
        </is>
      </c>
      <c r="D93" t="n">
        <v>2018</v>
      </c>
      <c r="E93" t="inlineStr">
        <is>
          <t>Silvia Masiero</t>
        </is>
      </c>
      <c r="F93" t="inlineStr">
        <is>
          <t>The Electronic Journal of Information Systems in Developing Countries</t>
        </is>
      </c>
      <c r="G93" t="n">
        <v>18</v>
      </c>
      <c r="H93" t="inlineStr">
        <is>
          <t>10.1002/isd2.12053</t>
        </is>
      </c>
      <c r="I93" t="inlineStr">
        <is>
          <t>South Asia</t>
        </is>
      </c>
      <c r="J93" t="inlineStr">
        <is>
          <t>India</t>
        </is>
      </c>
      <c r="K93" t="inlineStr">
        <is>
          <t>B5:india</t>
        </is>
      </c>
      <c r="L93" t="inlineStr"/>
      <c r="M93" t="inlineStr"/>
    </row>
    <row r="94">
      <c r="A94" t="inlineStr">
        <is>
          <t>LM00230</t>
        </is>
      </c>
      <c r="B94" t="inlineStr">
        <is>
          <t>B5</t>
        </is>
      </c>
      <c r="C94" t="inlineStr">
        <is>
          <t>Institutional and Technology Architecture Interplay in the National Identity System of India (Aadhaar) and Implications for an Effective Privacy Regime</t>
        </is>
      </c>
      <c r="D94" t="n">
        <v>2018</v>
      </c>
      <c r="E94" t="inlineStr">
        <is>
          <t>Rekha Jain</t>
        </is>
      </c>
      <c r="F94" t="inlineStr">
        <is>
          <t>SSRN Electronic Journal</t>
        </is>
      </c>
      <c r="G94" t="n">
        <v>0</v>
      </c>
      <c r="H94" t="inlineStr"/>
      <c r="I94" t="inlineStr">
        <is>
          <t>South Asia</t>
        </is>
      </c>
      <c r="J94" t="inlineStr">
        <is>
          <t>India</t>
        </is>
      </c>
      <c r="K94" t="inlineStr">
        <is>
          <t>B5:india</t>
        </is>
      </c>
      <c r="L94" t="inlineStr"/>
      <c r="M94" t="inlineStr"/>
    </row>
    <row r="95">
      <c r="A95" t="inlineStr">
        <is>
          <t>LM00163</t>
        </is>
      </c>
      <c r="B95" t="inlineStr">
        <is>
          <t>B5</t>
        </is>
      </c>
      <c r="C95" t="inlineStr">
        <is>
          <t>India’s Aadhaar scheme and the promise of inclusive social protection</t>
        </is>
      </c>
      <c r="D95" t="n">
        <v>2017</v>
      </c>
      <c r="E95" t="inlineStr">
        <is>
          <t>Amiya Bhatia; Jacqueline Bhabha</t>
        </is>
      </c>
      <c r="F95" t="inlineStr">
        <is>
          <t>Oxford Development Studies</t>
        </is>
      </c>
      <c r="G95" t="n">
        <v>85</v>
      </c>
      <c r="H95" t="inlineStr">
        <is>
          <t>10.1080/13600818.2016.1263726</t>
        </is>
      </c>
      <c r="I95" t="inlineStr">
        <is>
          <t>South Asia</t>
        </is>
      </c>
      <c r="J95" t="inlineStr">
        <is>
          <t>India</t>
        </is>
      </c>
      <c r="K95" t="inlineStr">
        <is>
          <t>B5:india; B5:landmarks</t>
        </is>
      </c>
      <c r="L95" t="inlineStr"/>
      <c r="M95" t="inlineStr"/>
    </row>
    <row r="96">
      <c r="A96" t="inlineStr">
        <is>
          <t>LM00205</t>
        </is>
      </c>
      <c r="B96" t="inlineStr">
        <is>
          <t>B5</t>
        </is>
      </c>
      <c r="C96" t="inlineStr">
        <is>
          <t>India: Unique Identification Authority</t>
        </is>
      </c>
      <c r="D96" t="n">
        <v>2016</v>
      </c>
      <c r="E96" t="inlineStr">
        <is>
          <t>Sonalika Chaturvedi; Hariharan Sriram</t>
        </is>
      </c>
      <c r="F96" t="inlineStr">
        <is>
          <t>Springer eBooks</t>
        </is>
      </c>
      <c r="G96" t="n">
        <v>1</v>
      </c>
      <c r="H96" t="inlineStr">
        <is>
          <t>10.1007/978-3-319-38795-6_8</t>
        </is>
      </c>
      <c r="I96" t="inlineStr">
        <is>
          <t>South Asia</t>
        </is>
      </c>
      <c r="J96" t="inlineStr">
        <is>
          <t>India</t>
        </is>
      </c>
      <c r="K96" t="inlineStr">
        <is>
          <t>B5:india</t>
        </is>
      </c>
      <c r="L96" t="inlineStr"/>
      <c r="M96" t="inlineStr"/>
    </row>
    <row r="97">
      <c r="A97" t="inlineStr">
        <is>
          <t>LM00227</t>
        </is>
      </c>
      <c r="B97" t="inlineStr">
        <is>
          <t>B5</t>
        </is>
      </c>
      <c r="C97" t="inlineStr">
        <is>
          <t>Technochange and the historical bloc: Aadhaar and the computerisation of the Indian public distribution system</t>
        </is>
      </c>
      <c r="D97" t="n">
        <v>2015</v>
      </c>
      <c r="E97" t="inlineStr">
        <is>
          <t>Silvia Masiero</t>
        </is>
      </c>
      <c r="F97" t="inlineStr">
        <is>
          <t>London School of Economics and Political Science Research Online (London School of Economics and Political Science)</t>
        </is>
      </c>
      <c r="G97" t="n">
        <v>0</v>
      </c>
      <c r="H97" t="inlineStr"/>
      <c r="I97" t="inlineStr">
        <is>
          <t>South Asia</t>
        </is>
      </c>
      <c r="J97" t="inlineStr">
        <is>
          <t>India</t>
        </is>
      </c>
      <c r="K97" t="inlineStr">
        <is>
          <t>B5:india</t>
        </is>
      </c>
      <c r="L97" t="inlineStr"/>
      <c r="M97" t="inlineStr"/>
    </row>
    <row r="98">
      <c r="A98" t="inlineStr">
        <is>
          <t>LM00179</t>
        </is>
      </c>
      <c r="B98" t="inlineStr">
        <is>
          <t>B5</t>
        </is>
      </c>
      <c r="C98" t="inlineStr">
        <is>
          <t>The Unique Identity (UID) Project, Biometrics and Re-Imagining Governance in India</t>
        </is>
      </c>
      <c r="D98" t="n">
        <v>2014</v>
      </c>
      <c r="E98" t="inlineStr">
        <is>
          <t>Swagato Sarkar</t>
        </is>
      </c>
      <c r="F98" t="inlineStr">
        <is>
          <t>Oxford Development Studies</t>
        </is>
      </c>
      <c r="G98" t="n">
        <v>54</v>
      </c>
      <c r="H98" t="inlineStr">
        <is>
          <t>10.1080/13600818.2014.924493</t>
        </is>
      </c>
      <c r="I98" t="inlineStr">
        <is>
          <t>South Asia</t>
        </is>
      </c>
      <c r="J98" t="inlineStr">
        <is>
          <t>India</t>
        </is>
      </c>
      <c r="K98" t="inlineStr">
        <is>
          <t>B5:india</t>
        </is>
      </c>
      <c r="L98" t="inlineStr"/>
      <c r="M98" t="inlineStr"/>
    </row>
    <row r="99">
      <c r="A99" t="inlineStr">
        <is>
          <t>LM00210</t>
        </is>
      </c>
      <c r="B99" t="inlineStr">
        <is>
          <t>B5</t>
        </is>
      </c>
      <c r="C99" t="inlineStr">
        <is>
          <t>Power, panopticism and surveillance: A panoptic perspective on aadhaar</t>
        </is>
      </c>
      <c r="D99" t="n">
        <v>2014</v>
      </c>
      <c r="E99" t="inlineStr">
        <is>
          <t>Basil B. Mathew</t>
        </is>
      </c>
      <c r="F99" t="inlineStr">
        <is>
          <t>ZENITH International Journal of Multidisciplinary Research</t>
        </is>
      </c>
      <c r="G99" t="n">
        <v>1</v>
      </c>
      <c r="H99" t="inlineStr"/>
      <c r="I99" t="inlineStr">
        <is>
          <t>Multi-region</t>
        </is>
      </c>
      <c r="J99" t="inlineStr">
        <is>
          <t>Australia; Canada; China; India; Philippines; United Kingdom</t>
        </is>
      </c>
      <c r="K99" t="inlineStr">
        <is>
          <t>B5:india</t>
        </is>
      </c>
      <c r="L99" t="inlineStr"/>
      <c r="M99" t="inlineStr"/>
    </row>
    <row r="100">
      <c r="A100" t="inlineStr">
        <is>
          <t>LM00167</t>
        </is>
      </c>
      <c r="B100" t="inlineStr">
        <is>
          <t>B5</t>
        </is>
      </c>
      <c r="C100" t="inlineStr">
        <is>
          <t>Online voting system for India based on AADHAAR ID</t>
        </is>
      </c>
      <c r="D100" t="n">
        <v>2013</v>
      </c>
      <c r="E100" t="inlineStr">
        <is>
          <t>Himanshu Agarwal; G. N. Pandey</t>
        </is>
      </c>
      <c r="F100" t="inlineStr">
        <is>
          <t>International Conference on ICT and Knowledge Engineering</t>
        </is>
      </c>
      <c r="G100" t="n">
        <v>78</v>
      </c>
      <c r="H100" t="inlineStr">
        <is>
          <t>10.1109/ictke.2013.6756265</t>
        </is>
      </c>
      <c r="I100" t="inlineStr">
        <is>
          <t>South Asia</t>
        </is>
      </c>
      <c r="J100" t="inlineStr">
        <is>
          <t>India</t>
        </is>
      </c>
      <c r="K100" t="inlineStr">
        <is>
          <t>B5:landmarks</t>
        </is>
      </c>
      <c r="L100" t="inlineStr"/>
      <c r="M100" t="inlineStr"/>
    </row>
    <row r="101">
      <c r="A101" t="inlineStr">
        <is>
          <t>LM00137</t>
        </is>
      </c>
      <c r="B101" t="inlineStr">
        <is>
          <t>B5</t>
        </is>
      </c>
      <c r="C101" t="inlineStr">
        <is>
          <t>Digital Epidermalization: Race, Identity and Biometrics</t>
        </is>
      </c>
      <c r="D101" t="n">
        <v>2010</v>
      </c>
      <c r="E101" t="inlineStr">
        <is>
          <t>Simone Browne</t>
        </is>
      </c>
      <c r="F101" t="inlineStr">
        <is>
          <t>Critical Sociology</t>
        </is>
      </c>
      <c r="G101" t="n">
        <v>254</v>
      </c>
      <c r="H101" t="inlineStr">
        <is>
          <t>10.1177/0896920509347144</t>
        </is>
      </c>
      <c r="I101" t="inlineStr">
        <is>
          <t>Multi-region</t>
        </is>
      </c>
      <c r="J101" t="inlineStr">
        <is>
          <t>Canada; India</t>
        </is>
      </c>
      <c r="K101" t="inlineStr">
        <is>
          <t>B5:landmarks</t>
        </is>
      </c>
      <c r="L101" t="inlineStr"/>
      <c r="M101" t="inlineStr"/>
    </row>
    <row r="102">
      <c r="A102" t="inlineStr">
        <is>
          <t>LM00134</t>
        </is>
      </c>
      <c r="B102" t="inlineStr">
        <is>
          <t>B5</t>
        </is>
      </c>
      <c r="C102" t="inlineStr">
        <is>
          <t>Cartographic Anxiety: Mapping the Body Politic in India</t>
        </is>
      </c>
      <c r="D102" t="n">
        <v>1994</v>
      </c>
      <c r="E102" t="inlineStr">
        <is>
          <t>Sankaran Krishna</t>
        </is>
      </c>
      <c r="F102" t="inlineStr">
        <is>
          <t>Alternatives Global Local Political</t>
        </is>
      </c>
      <c r="G102" t="n">
        <v>337</v>
      </c>
      <c r="H102" t="inlineStr">
        <is>
          <t>10.1177/030437549401900404</t>
        </is>
      </c>
      <c r="I102" t="inlineStr">
        <is>
          <t>South Asia</t>
        </is>
      </c>
      <c r="J102" t="inlineStr">
        <is>
          <t>India</t>
        </is>
      </c>
      <c r="K102" t="inlineStr">
        <is>
          <t>B5:landmarks</t>
        </is>
      </c>
      <c r="L102" t="inlineStr"/>
      <c r="M102" t="inlineStr"/>
    </row>
    <row r="103">
      <c r="A103" t="inlineStr">
        <is>
          <t>LM00231</t>
        </is>
      </c>
      <c r="B103" t="inlineStr">
        <is>
          <t>B5</t>
        </is>
      </c>
      <c r="C103" t="inlineStr">
        <is>
          <t>Integrating Biometric Authentication in India's Welfare Programs: Lessons from a Decade of Reforms</t>
        </is>
      </c>
      <c r="E103" t="inlineStr">
        <is>
          <t>Sandip Sukhtankar; Paul Niehaus; Karthik Muralidharan</t>
        </is>
      </c>
      <c r="F103" t="inlineStr">
        <is>
          <t>RePEc: Research Papers in Economics</t>
        </is>
      </c>
      <c r="G103" t="n">
        <v>0</v>
      </c>
      <c r="H103" t="inlineStr"/>
      <c r="I103" t="inlineStr">
        <is>
          <t>South Asia</t>
        </is>
      </c>
      <c r="J103" t="inlineStr">
        <is>
          <t>India</t>
        </is>
      </c>
      <c r="K103" t="inlineStr">
        <is>
          <t>B5:india</t>
        </is>
      </c>
      <c r="L103" t="inlineStr"/>
      <c r="M103" t="inlineStr"/>
    </row>
    <row r="104">
      <c r="A104" t="inlineStr">
        <is>
          <t>LM00320</t>
        </is>
      </c>
      <c r="B104" t="inlineStr">
        <is>
          <t>C2</t>
        </is>
      </c>
      <c r="C104" t="inlineStr">
        <is>
          <t>Informal service labour and digital platforms in India’s marriage economy</t>
        </is>
      </c>
      <c r="D104" t="n">
        <v>2026</v>
      </c>
      <c r="E104" t="inlineStr">
        <is>
          <t>Debalina Roy</t>
        </is>
      </c>
      <c r="F104" t="inlineStr">
        <is>
          <t>International Journal of Sociology and Social Policy</t>
        </is>
      </c>
      <c r="G104" t="n">
        <v>2</v>
      </c>
      <c r="H104" t="inlineStr">
        <is>
          <t>10.1108/ijssp-01-2025-0077</t>
        </is>
      </c>
      <c r="I104" t="inlineStr">
        <is>
          <t>Multi-region</t>
        </is>
      </c>
      <c r="J104" t="inlineStr">
        <is>
          <t>India; Kolkata; Poland</t>
        </is>
      </c>
      <c r="K104" t="inlineStr">
        <is>
          <t>C2:india</t>
        </is>
      </c>
      <c r="L104" t="inlineStr"/>
      <c r="M104" t="inlineStr"/>
    </row>
    <row r="105">
      <c r="A105" t="inlineStr">
        <is>
          <t>LM00328</t>
        </is>
      </c>
      <c r="B105" t="inlineStr">
        <is>
          <t>C2</t>
        </is>
      </c>
      <c r="C105" t="inlineStr">
        <is>
          <t>Household platforms as transactional infrastructures: the case of Urban Company</t>
        </is>
      </c>
      <c r="D105" t="n">
        <v>2026</v>
      </c>
      <c r="E105" t="inlineStr">
        <is>
          <t>Adrian Mabbott Athique; Akshaya Kumar</t>
        </is>
      </c>
      <c r="F105" t="inlineStr">
        <is>
          <t>Journal of Cultural Economy</t>
        </is>
      </c>
      <c r="G105" t="n">
        <v>1</v>
      </c>
      <c r="H105" t="inlineStr">
        <is>
          <t>10.1080/17530350.2026.2613813</t>
        </is>
      </c>
      <c r="I105" t="inlineStr">
        <is>
          <t>South Asia</t>
        </is>
      </c>
      <c r="J105" t="inlineStr">
        <is>
          <t>India</t>
        </is>
      </c>
      <c r="K105" t="inlineStr">
        <is>
          <t>C2:india</t>
        </is>
      </c>
      <c r="L105" t="inlineStr"/>
      <c r="M105" t="inlineStr"/>
    </row>
    <row r="106">
      <c r="A106" t="inlineStr">
        <is>
          <t>LM00342</t>
        </is>
      </c>
      <c r="B106" t="inlineStr">
        <is>
          <t>C2</t>
        </is>
      </c>
      <c r="C106" t="inlineStr">
        <is>
          <t>Platform Urbanism and Culinary Logistics: Mobility, Infrastructure, and Micro-Entrepreneurship in Post-Digital Kolkata</t>
        </is>
      </c>
      <c r="D106" t="n">
        <v>2026</v>
      </c>
      <c r="E106" t="inlineStr">
        <is>
          <t>Sayon Pramanik; Sampurna Biswas</t>
        </is>
      </c>
      <c r="F106" t="inlineStr">
        <is>
          <t>Lecture notes in civil engineering</t>
        </is>
      </c>
      <c r="G106" t="n">
        <v>0</v>
      </c>
      <c r="H106" t="inlineStr">
        <is>
          <t>10.1007/978-981-95-3873-7_11</t>
        </is>
      </c>
      <c r="I106" t="inlineStr">
        <is>
          <t>South Asia</t>
        </is>
      </c>
      <c r="J106" t="inlineStr">
        <is>
          <t>Kolkata</t>
        </is>
      </c>
      <c r="K106" t="inlineStr">
        <is>
          <t>C2:india</t>
        </is>
      </c>
      <c r="L106" t="inlineStr"/>
      <c r="M106" t="inlineStr"/>
    </row>
    <row r="107">
      <c r="A107" t="inlineStr">
        <is>
          <t>LM00344</t>
        </is>
      </c>
      <c r="B107" t="inlineStr">
        <is>
          <t>C2</t>
        </is>
      </c>
      <c r="C107" t="inlineStr">
        <is>
          <t>Participatory Governance through AI-Powered Digital Platforms: A Comparative Study of Indian States</t>
        </is>
      </c>
      <c r="D107" t="n">
        <v>2026</v>
      </c>
      <c r="E107" t="inlineStr">
        <is>
          <t>Dr. J Narsimuloo</t>
        </is>
      </c>
      <c r="F107" t="inlineStr">
        <is>
          <t>Journal of Emerging Technologies and Innovative Research</t>
        </is>
      </c>
      <c r="G107" t="n">
        <v>0</v>
      </c>
      <c r="H107" t="inlineStr">
        <is>
          <t>10.56975/jetir.v13i1.574746</t>
        </is>
      </c>
      <c r="I107" t="inlineStr">
        <is>
          <t>South Asia</t>
        </is>
      </c>
      <c r="J107" t="inlineStr">
        <is>
          <t>Andhra Pradesh; India; Karnataka; Kerala; Maharashtra</t>
        </is>
      </c>
      <c r="K107" t="inlineStr">
        <is>
          <t>C2:india</t>
        </is>
      </c>
      <c r="L107" t="inlineStr"/>
      <c r="M107" t="inlineStr"/>
    </row>
    <row r="108">
      <c r="A108" t="inlineStr">
        <is>
          <t>LM00345</t>
        </is>
      </c>
      <c r="B108" t="inlineStr">
        <is>
          <t>C2</t>
        </is>
      </c>
      <c r="C108" t="inlineStr">
        <is>
          <t>GIG ECONOMY IN INDIA: OPPORTUNITIES AND CHALLENGES</t>
        </is>
      </c>
      <c r="D108" t="n">
        <v>2026</v>
      </c>
      <c r="E108" t="inlineStr">
        <is>
          <t>Tushar Kumar Goyal</t>
        </is>
      </c>
      <c r="F108" t="inlineStr"/>
      <c r="G108" t="n">
        <v>0</v>
      </c>
      <c r="H108" t="inlineStr">
        <is>
          <t>10.47760/oajmr.2026.v02i02.002</t>
        </is>
      </c>
      <c r="I108" t="inlineStr">
        <is>
          <t>South Asia</t>
        </is>
      </c>
      <c r="J108" t="inlineStr">
        <is>
          <t>India</t>
        </is>
      </c>
      <c r="K108" t="inlineStr">
        <is>
          <t>C2:india</t>
        </is>
      </c>
      <c r="L108" t="inlineStr"/>
      <c r="M108" t="inlineStr"/>
    </row>
    <row r="109">
      <c r="A109" t="inlineStr">
        <is>
          <t>LM00347</t>
        </is>
      </c>
      <c r="B109" t="inlineStr">
        <is>
          <t>C2</t>
        </is>
      </c>
      <c r="C109" t="inlineStr">
        <is>
          <t>Youth Participation and Work Experience in India’s Gig Economy: Evidence from Bengaluru</t>
        </is>
      </c>
      <c r="D109" t="n">
        <v>2026</v>
      </c>
      <c r="E109" t="inlineStr">
        <is>
          <t>Ananya Sahoo; Jennifer Fernandes</t>
        </is>
      </c>
      <c r="F109" t="inlineStr">
        <is>
          <t>Scholars Journal of Economics Business and Management</t>
        </is>
      </c>
      <c r="G109" t="n">
        <v>0</v>
      </c>
      <c r="H109" t="inlineStr">
        <is>
          <t>10.36347/sjebm.2026.v13i02.004</t>
        </is>
      </c>
      <c r="I109" t="inlineStr">
        <is>
          <t>South Asia</t>
        </is>
      </c>
      <c r="J109" t="inlineStr">
        <is>
          <t>Bengaluru; India</t>
        </is>
      </c>
      <c r="K109" t="inlineStr">
        <is>
          <t>C2:india</t>
        </is>
      </c>
      <c r="L109" t="inlineStr"/>
      <c r="M109" t="inlineStr"/>
    </row>
    <row r="110">
      <c r="A110" t="inlineStr">
        <is>
          <t>LM00349</t>
        </is>
      </c>
      <c r="B110" t="inlineStr">
        <is>
          <t>C2</t>
        </is>
      </c>
      <c r="C110" t="inlineStr">
        <is>
          <t>Delivering food, navigating stigma: the social experience of gig workers in urban India</t>
        </is>
      </c>
      <c r="D110" t="n">
        <v>2026</v>
      </c>
      <c r="E110" t="inlineStr">
        <is>
          <t>Mohammad Sajjad Hussain</t>
        </is>
      </c>
      <c r="F110" t="inlineStr">
        <is>
          <t>Labor History</t>
        </is>
      </c>
      <c r="G110" t="n">
        <v>0</v>
      </c>
      <c r="H110" t="inlineStr">
        <is>
          <t>10.1080/0023656x.2026.2661746</t>
        </is>
      </c>
      <c r="I110" t="inlineStr">
        <is>
          <t>South Asia</t>
        </is>
      </c>
      <c r="J110" t="inlineStr">
        <is>
          <t>Hyderabad; India</t>
        </is>
      </c>
      <c r="K110" t="inlineStr">
        <is>
          <t>C2:india</t>
        </is>
      </c>
      <c r="L110" t="inlineStr"/>
      <c r="M110" t="inlineStr"/>
    </row>
    <row r="111">
      <c r="A111" t="inlineStr">
        <is>
          <t>LM00350</t>
        </is>
      </c>
      <c r="B111" t="inlineStr">
        <is>
          <t>C2</t>
        </is>
      </c>
      <c r="C111" t="inlineStr">
        <is>
          <t>India's Shift to the Instant Service Economy: Platform Growth, Urban Consumption, and Socioeconomic Impact</t>
        </is>
      </c>
      <c r="D111" t="n">
        <v>2026</v>
      </c>
      <c r="E111" t="inlineStr">
        <is>
          <t>Myra Abhishek Chamaria</t>
        </is>
      </c>
      <c r="F111" t="inlineStr">
        <is>
          <t>International Journal of Science and Research (IJSR)</t>
        </is>
      </c>
      <c r="G111" t="n">
        <v>0</v>
      </c>
      <c r="H111" t="inlineStr">
        <is>
          <t>10.21275/sr26415114702</t>
        </is>
      </c>
      <c r="I111" t="inlineStr">
        <is>
          <t>South Asia</t>
        </is>
      </c>
      <c r="J111" t="inlineStr">
        <is>
          <t>India</t>
        </is>
      </c>
      <c r="K111" t="inlineStr">
        <is>
          <t>C2:india</t>
        </is>
      </c>
      <c r="L111" t="inlineStr"/>
      <c r="M111" t="inlineStr"/>
    </row>
    <row r="112">
      <c r="A112" t="inlineStr">
        <is>
          <t>LM00352</t>
        </is>
      </c>
      <c r="B112" t="inlineStr">
        <is>
          <t>C2</t>
        </is>
      </c>
      <c r="C112" t="inlineStr">
        <is>
          <t>Decent Work, Inclusion, and Growth in Gig Workers of India: The Viksit Bharat Vision</t>
        </is>
      </c>
      <c r="D112" t="n">
        <v>2026</v>
      </c>
      <c r="E112" t="inlineStr">
        <is>
          <t>Naynith Nitesh Rathod; Yuvraj Singh Kimtee; Dikshit Jain; Kishan T Patel</t>
        </is>
      </c>
      <c r="F112" t="inlineStr">
        <is>
          <t>JOURNAL OF ADVANCE AND FUTURE RESEARCH</t>
        </is>
      </c>
      <c r="G112" t="n">
        <v>0</v>
      </c>
      <c r="H112" t="inlineStr">
        <is>
          <t>10.56975/jaafr.v4i4.508663</t>
        </is>
      </c>
      <c r="I112" t="inlineStr">
        <is>
          <t>South Asia</t>
        </is>
      </c>
      <c r="J112" t="inlineStr">
        <is>
          <t>India</t>
        </is>
      </c>
      <c r="K112" t="inlineStr">
        <is>
          <t>C2:india</t>
        </is>
      </c>
      <c r="L112" t="inlineStr"/>
      <c r="M112" t="inlineStr"/>
    </row>
    <row r="113">
      <c r="A113" t="inlineStr">
        <is>
          <t>LM00353</t>
        </is>
      </c>
      <c r="B113" t="inlineStr">
        <is>
          <t>C2</t>
        </is>
      </c>
      <c r="C113" t="inlineStr">
        <is>
          <t>Digital platforms for micro and small enterprises in India: performance, future of work and sustainability implications</t>
        </is>
      </c>
      <c r="D113" t="n">
        <v>2026</v>
      </c>
      <c r="E113" t="inlineStr">
        <is>
          <t>Sumesh P. Soman; Bino Paul G. D.; Unmesh Patnaik; Kamal Kumar Murari</t>
        </is>
      </c>
      <c r="F113" t="inlineStr">
        <is>
          <t>International Journal of Productivity and Performance Management</t>
        </is>
      </c>
      <c r="G113" t="n">
        <v>0</v>
      </c>
      <c r="H113" t="inlineStr">
        <is>
          <t>10.1108/ijppm-11-2024-0785</t>
        </is>
      </c>
      <c r="I113" t="inlineStr">
        <is>
          <t>South Asia</t>
        </is>
      </c>
      <c r="J113" t="inlineStr">
        <is>
          <t>India</t>
        </is>
      </c>
      <c r="K113" t="inlineStr">
        <is>
          <t>C2:india</t>
        </is>
      </c>
      <c r="L113" t="inlineStr"/>
      <c r="M113" t="inlineStr"/>
    </row>
    <row r="114">
      <c r="A114" t="inlineStr">
        <is>
          <t>LM00354</t>
        </is>
      </c>
      <c r="B114" t="inlineStr">
        <is>
          <t>C2</t>
        </is>
      </c>
      <c r="C114" t="inlineStr">
        <is>
          <t>The Platformisation of Performance Traditions: Archiving Nachni Performances on Digital Platforms and the Parallel Economy of YouTubers in Purulia, West Bengal</t>
        </is>
      </c>
      <c r="D114" t="n">
        <v>2026</v>
      </c>
      <c r="E114" t="inlineStr">
        <is>
          <t>Sudatta Ghosh</t>
        </is>
      </c>
      <c r="F114" t="inlineStr"/>
      <c r="G114" t="n">
        <v>0</v>
      </c>
      <c r="H114" t="inlineStr">
        <is>
          <t>10.1177/23477989261446784</t>
        </is>
      </c>
      <c r="I114" t="inlineStr">
        <is>
          <t>South Asia</t>
        </is>
      </c>
      <c r="J114" t="inlineStr">
        <is>
          <t>India; West Bengal</t>
        </is>
      </c>
      <c r="K114" t="inlineStr">
        <is>
          <t>C2:india</t>
        </is>
      </c>
      <c r="L114" t="inlineStr"/>
      <c r="M114" t="inlineStr"/>
    </row>
    <row r="115">
      <c r="A115" t="inlineStr">
        <is>
          <t>LM00355</t>
        </is>
      </c>
      <c r="B115" t="inlineStr">
        <is>
          <t>C2</t>
        </is>
      </c>
      <c r="C115" t="inlineStr">
        <is>
          <t>From unpaid care work to gig labour: Women and the platform economy in India</t>
        </is>
      </c>
      <c r="D115" t="n">
        <v>2026</v>
      </c>
      <c r="E115" t="inlineStr">
        <is>
          <t>Sushmitha BC; Sunitha V Ganiger</t>
        </is>
      </c>
      <c r="F115" t="inlineStr">
        <is>
          <t>International journal of applied research</t>
        </is>
      </c>
      <c r="G115" t="n">
        <v>0</v>
      </c>
      <c r="H115" t="inlineStr">
        <is>
          <t>10.22271/allresearch.2026.v12.i5d.13701</t>
        </is>
      </c>
      <c r="I115" t="inlineStr">
        <is>
          <t>South Asia</t>
        </is>
      </c>
      <c r="J115" t="inlineStr">
        <is>
          <t>India</t>
        </is>
      </c>
      <c r="K115" t="inlineStr">
        <is>
          <t>C2:india</t>
        </is>
      </c>
      <c r="L115" t="inlineStr"/>
      <c r="M115" t="inlineStr"/>
    </row>
    <row r="116">
      <c r="A116" t="inlineStr">
        <is>
          <t>LM00357</t>
        </is>
      </c>
      <c r="B116" t="inlineStr">
        <is>
          <t>C2</t>
        </is>
      </c>
      <c r="C116" t="inlineStr">
        <is>
          <t>Converging Platforms: Media, Precarity and Everyday Resistance among Urban Gig Workers – A Case Study of Delhi</t>
        </is>
      </c>
      <c r="D116" t="n">
        <v>2026</v>
      </c>
      <c r="E116" t="inlineStr">
        <is>
          <t>Jagriti Lamba; Anjan Sen</t>
        </is>
      </c>
      <c r="F116" t="inlineStr">
        <is>
          <t>International Journal of Research Publication and Reviews</t>
        </is>
      </c>
      <c r="G116" t="n">
        <v>0</v>
      </c>
      <c r="H116" t="inlineStr">
        <is>
          <t>10.55248/gengpi.07.0526.a1407</t>
        </is>
      </c>
      <c r="I116" t="inlineStr">
        <is>
          <t>South Asia</t>
        </is>
      </c>
      <c r="J116" t="inlineStr">
        <is>
          <t>Delhi; India; South Asian</t>
        </is>
      </c>
      <c r="K116" t="inlineStr">
        <is>
          <t>C2:india</t>
        </is>
      </c>
      <c r="L116" t="inlineStr">
        <is>
          <t>Y</t>
        </is>
      </c>
      <c r="M116" t="inlineStr"/>
    </row>
    <row r="117">
      <c r="A117" t="inlineStr">
        <is>
          <t>LM00358</t>
        </is>
      </c>
      <c r="B117" t="inlineStr">
        <is>
          <t>C2</t>
        </is>
      </c>
      <c r="C117" t="inlineStr">
        <is>
          <t>Algorithmic Governance, Local Government Regulation, And Sustainable Labour Policy: A Structural Equation Modelling Approach To Gig Delivery Workers In South India</t>
        </is>
      </c>
      <c r="D117" t="n">
        <v>2026</v>
      </c>
      <c r="E117" t="inlineStr">
        <is>
          <t>R. Swathi Lakshmi, S. Manimaran, P.S.Venkateswaran</t>
        </is>
      </c>
      <c r="F117" t="inlineStr">
        <is>
          <t>Lex localis - Journal of Local Self-Government</t>
        </is>
      </c>
      <c r="G117" t="n">
        <v>0</v>
      </c>
      <c r="H117" t="inlineStr">
        <is>
          <t>10.52152/qz31mj32</t>
        </is>
      </c>
      <c r="I117" t="inlineStr">
        <is>
          <t>South Asia</t>
        </is>
      </c>
      <c r="J117" t="inlineStr">
        <is>
          <t>Chennai; India</t>
        </is>
      </c>
      <c r="K117" t="inlineStr">
        <is>
          <t>C2:india</t>
        </is>
      </c>
      <c r="L117" t="inlineStr"/>
      <c r="M117" t="inlineStr"/>
    </row>
    <row r="118">
      <c r="A118" t="inlineStr">
        <is>
          <t>LM00359</t>
        </is>
      </c>
      <c r="B118" t="inlineStr">
        <is>
          <t>C2</t>
        </is>
      </c>
      <c r="C118" t="inlineStr">
        <is>
          <t>AN ANALYTICAL STUDY OF THE PROBLEMS AND CHALLENGES FACED BY GIG ECONOMY WORKERS AND THEIR IMPACT ON JOB SATISFACTION IN BANGALORE CITY</t>
        </is>
      </c>
      <c r="D118" t="n">
        <v>2026</v>
      </c>
      <c r="E118" t="inlineStr">
        <is>
          <t>Dr. Radhika.B</t>
        </is>
      </c>
      <c r="F118" t="inlineStr">
        <is>
          <t>INTERNATIONAL JOURNAL OF RESEARCH IN MANAGEMENT</t>
        </is>
      </c>
      <c r="G118" t="n">
        <v>0</v>
      </c>
      <c r="H118" t="inlineStr">
        <is>
          <t>10.5281/zenodo.21967239</t>
        </is>
      </c>
      <c r="I118" t="inlineStr">
        <is>
          <t>South Asia</t>
        </is>
      </c>
      <c r="J118" t="inlineStr">
        <is>
          <t>Bangalore</t>
        </is>
      </c>
      <c r="K118" t="inlineStr">
        <is>
          <t>C2:india</t>
        </is>
      </c>
      <c r="L118" t="inlineStr"/>
      <c r="M118" t="inlineStr"/>
    </row>
    <row r="119">
      <c r="A119" t="inlineStr">
        <is>
          <t>LM00361</t>
        </is>
      </c>
      <c r="B119" t="inlineStr">
        <is>
          <t>C2</t>
        </is>
      </c>
      <c r="C119" t="inlineStr">
        <is>
          <t>Learning from the Margin in Platform Urbanism</t>
        </is>
      </c>
      <c r="D119" t="n">
        <v>2026</v>
      </c>
      <c r="E119" t="inlineStr">
        <is>
          <t>Tooran Alizadeh; Deepti Prasad</t>
        </is>
      </c>
      <c r="F119" t="inlineStr">
        <is>
          <t>Routledge eBooks</t>
        </is>
      </c>
      <c r="G119" t="n">
        <v>0</v>
      </c>
      <c r="H119" t="inlineStr">
        <is>
          <t>10.4324/9781003630333-33</t>
        </is>
      </c>
      <c r="I119" t="inlineStr">
        <is>
          <t>South Asia</t>
        </is>
      </c>
      <c r="J119" t="inlineStr">
        <is>
          <t>India</t>
        </is>
      </c>
      <c r="K119" t="inlineStr">
        <is>
          <t>C2:india</t>
        </is>
      </c>
      <c r="L119" t="inlineStr"/>
      <c r="M119" t="inlineStr"/>
    </row>
    <row r="120">
      <c r="A120" t="inlineStr">
        <is>
          <t>LM00364</t>
        </is>
      </c>
      <c r="B120" t="inlineStr">
        <is>
          <t>C2</t>
        </is>
      </c>
      <c r="C120" t="inlineStr">
        <is>
          <t>From Informal Labour to Digital Platforms: The Sustainability of Assam's Emerging Gig Economy</t>
        </is>
      </c>
      <c r="D120" t="n">
        <v>2026</v>
      </c>
      <c r="E120" t="inlineStr">
        <is>
          <t>Arabinda Medhi</t>
        </is>
      </c>
      <c r="F120" t="inlineStr">
        <is>
          <t>International Journal For Multidisciplinary Research</t>
        </is>
      </c>
      <c r="G120" t="n">
        <v>0</v>
      </c>
      <c r="H120" t="inlineStr">
        <is>
          <t>10.36948/ijfmr.2026.v08i05.88764</t>
        </is>
      </c>
      <c r="I120" t="inlineStr">
        <is>
          <t>South Asia</t>
        </is>
      </c>
      <c r="J120" t="inlineStr">
        <is>
          <t>Assam; India</t>
        </is>
      </c>
      <c r="K120" t="inlineStr">
        <is>
          <t>C2:india</t>
        </is>
      </c>
      <c r="L120" t="inlineStr"/>
      <c r="M120" t="inlineStr"/>
    </row>
    <row r="121">
      <c r="A121" t="inlineStr">
        <is>
          <t>LM00368</t>
        </is>
      </c>
      <c r="B121" t="inlineStr">
        <is>
          <t>C2</t>
        </is>
      </c>
      <c r="C121" t="inlineStr">
        <is>
          <t>Exploring the Socio - Economic Conditions of Gig Workers in Hyderabad</t>
        </is>
      </c>
      <c r="D121" t="n">
        <v>2026</v>
      </c>
      <c r="E121" t="inlineStr">
        <is>
          <t>Dr. J. Ratna Prabhakar; Mrs. Chaviti Sai Vani</t>
        </is>
      </c>
      <c r="F121" t="inlineStr">
        <is>
          <t>Zenodo (CERN European Organization for Nuclear Research)</t>
        </is>
      </c>
      <c r="G121" t="n">
        <v>0</v>
      </c>
      <c r="H121" t="inlineStr">
        <is>
          <t>10.5281/zenodo.19555052</t>
        </is>
      </c>
      <c r="I121" t="inlineStr">
        <is>
          <t>South Asia</t>
        </is>
      </c>
      <c r="J121" t="inlineStr">
        <is>
          <t>Hyderabad</t>
        </is>
      </c>
      <c r="K121" t="inlineStr">
        <is>
          <t>C2:india</t>
        </is>
      </c>
      <c r="L121" t="inlineStr"/>
      <c r="M121" t="inlineStr"/>
    </row>
    <row r="122">
      <c r="A122" t="inlineStr">
        <is>
          <t>LM00369</t>
        </is>
      </c>
      <c r="B122" t="inlineStr">
        <is>
          <t>C2</t>
        </is>
      </c>
      <c r="C122" t="inlineStr">
        <is>
          <t>GIG ECONOMY WORKERS AND LABOUR PROTECTION IN INDIA: REIMAGINING EMPLOYMENT RIGHTS IN THE DIGITAL AGE</t>
        </is>
      </c>
      <c r="D122" t="n">
        <v>2026</v>
      </c>
      <c r="E122" t="inlineStr">
        <is>
          <t>Taranbir Singh</t>
        </is>
      </c>
      <c r="F122" t="inlineStr">
        <is>
          <t>Zenodo (CERN European Organization for Nuclear Research)</t>
        </is>
      </c>
      <c r="G122" t="n">
        <v>0</v>
      </c>
      <c r="H122" t="inlineStr">
        <is>
          <t>10.5281/zenodo.21182395</t>
        </is>
      </c>
      <c r="I122" t="inlineStr">
        <is>
          <t>Multi-region</t>
        </is>
      </c>
      <c r="J122" t="inlineStr">
        <is>
          <t>European; India; United Kingdom</t>
        </is>
      </c>
      <c r="K122" t="inlineStr">
        <is>
          <t>C2:india</t>
        </is>
      </c>
      <c r="L122" t="inlineStr"/>
      <c r="M122" t="inlineStr"/>
    </row>
    <row r="123">
      <c r="A123" t="inlineStr">
        <is>
          <t>LM00370</t>
        </is>
      </c>
      <c r="B123" t="inlineStr">
        <is>
          <t>C2</t>
        </is>
      </c>
      <c r="C123" t="inlineStr">
        <is>
          <t>Socio-Economic and Career Dynamics of Gig Economy Workers in Karnataka: A Conceptual Review of Platform-Based Employment</t>
        </is>
      </c>
      <c r="D123" t="n">
        <v>2026</v>
      </c>
      <c r="E123" t="inlineStr">
        <is>
          <t>Shetty, Praveena; Dr Ishwara P</t>
        </is>
      </c>
      <c r="F123" t="inlineStr">
        <is>
          <t>Zenodo (CERN European Organization for Nuclear Research)</t>
        </is>
      </c>
      <c r="G123" t="n">
        <v>0</v>
      </c>
      <c r="H123" t="inlineStr">
        <is>
          <t>10.5281/zenodo.21288329</t>
        </is>
      </c>
      <c r="I123" t="inlineStr">
        <is>
          <t>South Asia</t>
        </is>
      </c>
      <c r="J123" t="inlineStr">
        <is>
          <t>Bengaluru; Karnataka</t>
        </is>
      </c>
      <c r="K123" t="inlineStr">
        <is>
          <t>C2:india</t>
        </is>
      </c>
      <c r="L123" t="inlineStr"/>
      <c r="M123" t="inlineStr"/>
    </row>
    <row r="124">
      <c r="A124" t="inlineStr">
        <is>
          <t>LM00371</t>
        </is>
      </c>
      <c r="B124" t="inlineStr">
        <is>
          <t>C2</t>
        </is>
      </c>
      <c r="C124" t="inlineStr">
        <is>
          <t>From subordination to freedom? An ethnography of Bangalore’s auto- rickshaw drivers and ride-hailing economy</t>
        </is>
      </c>
      <c r="D124" t="n">
        <v>2026</v>
      </c>
      <c r="E124" t="inlineStr">
        <is>
          <t>Shivani Daxini</t>
        </is>
      </c>
      <c r="F124" t="inlineStr">
        <is>
          <t>Durham e-Theses (Durham University)</t>
        </is>
      </c>
      <c r="G124" t="n">
        <v>0</v>
      </c>
      <c r="H124" t="inlineStr"/>
      <c r="I124" t="inlineStr">
        <is>
          <t>South Asia</t>
        </is>
      </c>
      <c r="J124" t="inlineStr">
        <is>
          <t>Bangalore; India</t>
        </is>
      </c>
      <c r="K124" t="inlineStr">
        <is>
          <t>C2:india</t>
        </is>
      </c>
      <c r="L124" t="inlineStr"/>
      <c r="M124" t="inlineStr"/>
    </row>
    <row r="125">
      <c r="A125" t="inlineStr">
        <is>
          <t>LM00372</t>
        </is>
      </c>
      <c r="B125" t="inlineStr">
        <is>
          <t>C2</t>
        </is>
      </c>
      <c r="C125" t="inlineStr">
        <is>
          <t>Platformisation in Smaller Indian Cities: Informal Institutions, Labour and Technology Adoption in Urban Mobility</t>
        </is>
      </c>
      <c r="D125" t="n">
        <v>2026</v>
      </c>
      <c r="E125" t="inlineStr">
        <is>
          <t>Manan Singla</t>
        </is>
      </c>
      <c r="F125" t="inlineStr">
        <is>
          <t>Zenodo (CERN European Organization for Nuclear Research)</t>
        </is>
      </c>
      <c r="G125" t="n">
        <v>0</v>
      </c>
      <c r="H125" t="inlineStr">
        <is>
          <t>10.5281/zenodo.22656569</t>
        </is>
      </c>
      <c r="I125" t="inlineStr">
        <is>
          <t>South Asia</t>
        </is>
      </c>
      <c r="J125" t="inlineStr">
        <is>
          <t>Bengaluru; Delhi; India; Mumbai</t>
        </is>
      </c>
      <c r="K125" t="inlineStr">
        <is>
          <t>C2:india; C2:recent</t>
        </is>
      </c>
      <c r="L125" t="inlineStr">
        <is>
          <t>Y</t>
        </is>
      </c>
      <c r="M125" t="inlineStr"/>
    </row>
    <row r="126">
      <c r="A126" t="inlineStr">
        <is>
          <t>LM00325</t>
        </is>
      </c>
      <c r="B126" t="inlineStr">
        <is>
          <t>C2</t>
        </is>
      </c>
      <c r="C126" t="inlineStr">
        <is>
          <t>Unequal taxi geographies: Antagonisms in platform-driven urban restructuring in Delhi, India</t>
        </is>
      </c>
      <c r="D126" t="n">
        <v>2025</v>
      </c>
      <c r="E126" t="inlineStr">
        <is>
          <t>Anurag Mazumdar</t>
        </is>
      </c>
      <c r="F126" t="inlineStr">
        <is>
          <t>Environment and Planning D Society and Space</t>
        </is>
      </c>
      <c r="G126" t="n">
        <v>1</v>
      </c>
      <c r="H126" t="inlineStr">
        <is>
          <t>10.1177/02637758251384794</t>
        </is>
      </c>
      <c r="I126" t="inlineStr">
        <is>
          <t>South Asia</t>
        </is>
      </c>
      <c r="J126" t="inlineStr">
        <is>
          <t>Delhi; India</t>
        </is>
      </c>
      <c r="K126" t="inlineStr">
        <is>
          <t>C2:india</t>
        </is>
      </c>
      <c r="L126" t="inlineStr">
        <is>
          <t>Y</t>
        </is>
      </c>
      <c r="M126" t="inlineStr"/>
    </row>
    <row r="127">
      <c r="A127" t="inlineStr">
        <is>
          <t>LM00326</t>
        </is>
      </c>
      <c r="B127" t="inlineStr">
        <is>
          <t>C2</t>
        </is>
      </c>
      <c r="C127" t="inlineStr">
        <is>
          <t>Platformization in the southern city: Entrepreneurial volunteering and the suturing of collective life in Hyderabad</t>
        </is>
      </c>
      <c r="D127" t="n">
        <v>2025</v>
      </c>
      <c r="E127" t="inlineStr">
        <is>
          <t>Anushree Gupta; Aalok Khandekar</t>
        </is>
      </c>
      <c r="F127" t="inlineStr">
        <is>
          <t>Environment and Planning D Society and Space</t>
        </is>
      </c>
      <c r="G127" t="n">
        <v>1</v>
      </c>
      <c r="H127" t="inlineStr">
        <is>
          <t>10.1177/02637758251389048</t>
        </is>
      </c>
      <c r="I127" t="inlineStr">
        <is>
          <t>South Asia</t>
        </is>
      </c>
      <c r="J127" t="inlineStr">
        <is>
          <t>Hyderabad; India</t>
        </is>
      </c>
      <c r="K127" t="inlineStr">
        <is>
          <t>C2:india; C2:recent</t>
        </is>
      </c>
      <c r="L127" t="inlineStr"/>
      <c r="M127" t="inlineStr"/>
    </row>
    <row r="128">
      <c r="A128" t="inlineStr">
        <is>
          <t>LM00336</t>
        </is>
      </c>
      <c r="B128" t="inlineStr">
        <is>
          <t>C2</t>
        </is>
      </c>
      <c r="C128" t="inlineStr">
        <is>
          <t>Platform co-operatives in the age of gig economy: A case study of SEWA cooperative federation</t>
        </is>
      </c>
      <c r="D128" t="n">
        <v>2025</v>
      </c>
      <c r="E128" t="inlineStr">
        <is>
          <t>Sreeda TP</t>
        </is>
      </c>
      <c r="F128" t="inlineStr">
        <is>
          <t>International Journal of Arts Humanities and Social Studies</t>
        </is>
      </c>
      <c r="G128" t="n">
        <v>0</v>
      </c>
      <c r="H128" t="inlineStr">
        <is>
          <t>10.33545/26648652.2025.v7.i1d.228</t>
        </is>
      </c>
      <c r="I128" t="inlineStr">
        <is>
          <t>South Asia</t>
        </is>
      </c>
      <c r="J128" t="inlineStr">
        <is>
          <t>Gujarat; India</t>
        </is>
      </c>
      <c r="K128" t="inlineStr">
        <is>
          <t>C2:india</t>
        </is>
      </c>
      <c r="L128" t="inlineStr"/>
      <c r="M128" t="inlineStr"/>
    </row>
    <row r="129">
      <c r="A129" t="inlineStr">
        <is>
          <t>LM00337</t>
        </is>
      </c>
      <c r="B129" t="inlineStr">
        <is>
          <t>C2</t>
        </is>
      </c>
      <c r="C129" t="inlineStr">
        <is>
          <t>The Gig Economy in India: Economic Empowerment or Precarious Employment?</t>
        </is>
      </c>
      <c r="D129" t="n">
        <v>2025</v>
      </c>
      <c r="E129" t="inlineStr">
        <is>
          <t>Heena Gandhi</t>
        </is>
      </c>
      <c r="F129" t="inlineStr">
        <is>
          <t>International Journal For Multidisciplinary Research</t>
        </is>
      </c>
      <c r="G129" t="n">
        <v>0</v>
      </c>
      <c r="H129" t="inlineStr">
        <is>
          <t>10.36948/ijfmr.2025.v07i03.48782</t>
        </is>
      </c>
      <c r="I129" t="inlineStr">
        <is>
          <t>South Asia</t>
        </is>
      </c>
      <c r="J129" t="inlineStr">
        <is>
          <t>India</t>
        </is>
      </c>
      <c r="K129" t="inlineStr">
        <is>
          <t>C2:india</t>
        </is>
      </c>
      <c r="L129" t="inlineStr"/>
      <c r="M129" t="inlineStr"/>
    </row>
    <row r="130">
      <c r="A130" t="inlineStr">
        <is>
          <t>LM00339</t>
        </is>
      </c>
      <c r="B130" t="inlineStr">
        <is>
          <t>C2</t>
        </is>
      </c>
      <c r="C130" t="inlineStr">
        <is>
          <t>Gig Workers in India- a Legal Perspective</t>
        </is>
      </c>
      <c r="D130" t="n">
        <v>2025</v>
      </c>
      <c r="E130" t="inlineStr">
        <is>
          <t>BHASWATI TALUKDAR; Bimal Kumar Baishya</t>
        </is>
      </c>
      <c r="F130" t="inlineStr">
        <is>
          <t>Advanced International Journal for Research</t>
        </is>
      </c>
      <c r="G130" t="n">
        <v>0</v>
      </c>
      <c r="H130" t="inlineStr">
        <is>
          <t>10.63363/aijfr.2025.v06i06.1776</t>
        </is>
      </c>
      <c r="I130" t="inlineStr">
        <is>
          <t>South Asia</t>
        </is>
      </c>
      <c r="J130" t="inlineStr">
        <is>
          <t>India</t>
        </is>
      </c>
      <c r="K130" t="inlineStr">
        <is>
          <t>C2:india</t>
        </is>
      </c>
      <c r="L130" t="inlineStr"/>
      <c r="M130" t="inlineStr"/>
    </row>
    <row r="131">
      <c r="A131" t="inlineStr">
        <is>
          <t>LM00346</t>
        </is>
      </c>
      <c r="B131" t="inlineStr">
        <is>
          <t>C2</t>
        </is>
      </c>
      <c r="C131" t="inlineStr">
        <is>
          <t>ANALYSIS OF GIG WORKERS IN THE INDIAN LABOUR MARKET WITH SPECIAL REFERENCE TO BENGALURU URBAN</t>
        </is>
      </c>
      <c r="D131" t="n">
        <v>2025</v>
      </c>
      <c r="E131" t="inlineStr">
        <is>
          <t>ANU THOMAS; DR. CJ LAKSHMI</t>
        </is>
      </c>
      <c r="F131" t="inlineStr">
        <is>
          <t>International Journal of Social Sciences and Commerce</t>
        </is>
      </c>
      <c r="G131" t="n">
        <v>0</v>
      </c>
      <c r="H131" t="inlineStr">
        <is>
          <t>10.64906/ijssc.2025.02.03.90</t>
        </is>
      </c>
      <c r="I131" t="inlineStr">
        <is>
          <t>South Asia</t>
        </is>
      </c>
      <c r="J131" t="inlineStr">
        <is>
          <t>Bengaluru; India</t>
        </is>
      </c>
      <c r="K131" t="inlineStr">
        <is>
          <t>C2:india</t>
        </is>
      </c>
      <c r="L131" t="inlineStr"/>
      <c r="M131" t="inlineStr"/>
    </row>
    <row r="132">
      <c r="A132" t="inlineStr">
        <is>
          <t>LM00348</t>
        </is>
      </c>
      <c r="B132" t="inlineStr">
        <is>
          <t>C2</t>
        </is>
      </c>
      <c r="C132" t="inlineStr">
        <is>
          <t>The digitalization of urban governance in India : platforms, processes and people in Bhubaneswar</t>
        </is>
      </c>
      <c r="D132" t="n">
        <v>2025</v>
      </c>
      <c r="E132" t="inlineStr">
        <is>
          <t>Khaliq Parkar</t>
        </is>
      </c>
      <c r="F132" t="inlineStr"/>
      <c r="G132" t="n">
        <v>0</v>
      </c>
      <c r="H132" t="inlineStr">
        <is>
          <t>10.70675/d873922dzaa84z42cbza800z2e64d2aebeaa</t>
        </is>
      </c>
      <c r="I132" t="inlineStr">
        <is>
          <t>South Asia</t>
        </is>
      </c>
      <c r="J132" t="inlineStr">
        <is>
          <t>Bhubaneswar; India; Odisha</t>
        </is>
      </c>
      <c r="K132" t="inlineStr">
        <is>
          <t>C2:india; C2:recent</t>
        </is>
      </c>
      <c r="L132" t="inlineStr"/>
      <c r="M132" t="inlineStr"/>
    </row>
    <row r="133">
      <c r="A133" t="inlineStr">
        <is>
          <t>LM00374</t>
        </is>
      </c>
      <c r="B133" t="inlineStr">
        <is>
          <t>C2</t>
        </is>
      </c>
      <c r="C133" t="inlineStr">
        <is>
          <t>The Penetration of the Gig Economy in Post-Pandemic India: Transforming the Traditional Economic Landscape</t>
        </is>
      </c>
      <c r="D133" t="n">
        <v>2025</v>
      </c>
      <c r="E133" t="inlineStr">
        <is>
          <t>Aahana Jain</t>
        </is>
      </c>
      <c r="F133" t="inlineStr">
        <is>
          <t>Innovative Research Thoughts</t>
        </is>
      </c>
      <c r="G133" t="n">
        <v>0</v>
      </c>
      <c r="H133" t="inlineStr"/>
      <c r="I133" t="inlineStr">
        <is>
          <t>South Asia</t>
        </is>
      </c>
      <c r="J133" t="inlineStr">
        <is>
          <t>India</t>
        </is>
      </c>
      <c r="K133" t="inlineStr">
        <is>
          <t>C2:india</t>
        </is>
      </c>
      <c r="L133" t="inlineStr"/>
      <c r="M133" t="inlineStr"/>
    </row>
    <row r="134">
      <c r="A134" t="inlineStr">
        <is>
          <t>LM00308</t>
        </is>
      </c>
      <c r="B134" t="inlineStr">
        <is>
          <t>C2</t>
        </is>
      </c>
      <c r="C134" t="inlineStr">
        <is>
          <t>Urban mobilities in Mumbai: Towards worker-centric platformisation beyond ‘urban solutionism’</t>
        </is>
      </c>
      <c r="D134" t="n">
        <v>2024</v>
      </c>
      <c r="E134" t="inlineStr">
        <is>
          <t>Tobias Kuttler</t>
        </is>
      </c>
      <c r="F134" t="inlineStr">
        <is>
          <t>Urban Studies</t>
        </is>
      </c>
      <c r="G134" t="n">
        <v>8</v>
      </c>
      <c r="H134" t="inlineStr">
        <is>
          <t>10.1177/00420980241264645</t>
        </is>
      </c>
      <c r="I134" t="inlineStr">
        <is>
          <t>South Asia</t>
        </is>
      </c>
      <c r="J134" t="inlineStr">
        <is>
          <t>India; Mumbai</t>
        </is>
      </c>
      <c r="K134" t="inlineStr">
        <is>
          <t>C2:india</t>
        </is>
      </c>
      <c r="L134" t="inlineStr"/>
      <c r="M134" t="inlineStr"/>
    </row>
    <row r="135">
      <c r="A135" t="inlineStr">
        <is>
          <t>LM00332</t>
        </is>
      </c>
      <c r="B135" t="inlineStr">
        <is>
          <t>C2</t>
        </is>
      </c>
      <c r="C135" t="inlineStr">
        <is>
          <t>The Rise of Digital Labor Platforms in India: Gig Economy, Labor Rights, and Economic Inequality</t>
        </is>
      </c>
      <c r="D135" t="n">
        <v>2024</v>
      </c>
      <c r="E135" t="inlineStr">
        <is>
          <t>Shunsuke Sato</t>
        </is>
      </c>
      <c r="F135" t="inlineStr"/>
      <c r="G135" t="n">
        <v>0</v>
      </c>
      <c r="H135" t="inlineStr">
        <is>
          <t>10.22541/au.172979358.85441650/v1</t>
        </is>
      </c>
      <c r="I135" t="inlineStr">
        <is>
          <t>Multi-region</t>
        </is>
      </c>
      <c r="J135" t="inlineStr">
        <is>
          <t>Boston; India</t>
        </is>
      </c>
      <c r="K135" t="inlineStr">
        <is>
          <t>C2:india</t>
        </is>
      </c>
      <c r="L135" t="inlineStr"/>
      <c r="M135" t="inlineStr"/>
    </row>
    <row r="136">
      <c r="A136" t="inlineStr">
        <is>
          <t>LM00333</t>
        </is>
      </c>
      <c r="B136" t="inlineStr">
        <is>
          <t>C2</t>
        </is>
      </c>
      <c r="C136" t="inlineStr">
        <is>
          <t>Social Media and Youth Activism in South Asia: Examining the Role of Digital Platforms in Social Movements in Bangladesh and India</t>
        </is>
      </c>
      <c r="D136" t="n">
        <v>2024</v>
      </c>
      <c r="E136" t="inlineStr">
        <is>
          <t>Shunsuke Sato</t>
        </is>
      </c>
      <c r="F136" t="inlineStr"/>
      <c r="G136" t="n">
        <v>0</v>
      </c>
      <c r="H136" t="inlineStr">
        <is>
          <t>10.22541/au.173016226.67134443/v1</t>
        </is>
      </c>
      <c r="I136" t="inlineStr">
        <is>
          <t>South Asia</t>
        </is>
      </c>
      <c r="J136" t="inlineStr">
        <is>
          <t>Bangladesh; India; South Asia; South Asian</t>
        </is>
      </c>
      <c r="K136" t="inlineStr">
        <is>
          <t>C2:india</t>
        </is>
      </c>
      <c r="L136" t="inlineStr"/>
      <c r="M136" t="inlineStr"/>
    </row>
    <row r="137">
      <c r="A137" t="inlineStr">
        <is>
          <t>LM00295</t>
        </is>
      </c>
      <c r="B137" t="inlineStr">
        <is>
          <t>C2</t>
        </is>
      </c>
      <c r="C137" t="inlineStr">
        <is>
          <t>Creative digipreneurs: Artistic entrepreneurial practices in platform-mediated space</t>
        </is>
      </c>
      <c r="D137" t="n">
        <v>2023</v>
      </c>
      <c r="E137" t="inlineStr">
        <is>
          <t>Alica Repenning; Anna Oechslen</t>
        </is>
      </c>
      <c r="F137" t="inlineStr">
        <is>
          <t>Digital Geography and Society</t>
        </is>
      </c>
      <c r="G137" t="n">
        <v>25</v>
      </c>
      <c r="H137" t="inlineStr">
        <is>
          <t>10.1016/j.diggeo.2023.100058</t>
        </is>
      </c>
      <c r="I137" t="inlineStr">
        <is>
          <t>Multi-region</t>
        </is>
      </c>
      <c r="J137" t="inlineStr">
        <is>
          <t>Bengaluru; Berlin; Germany; India</t>
        </is>
      </c>
      <c r="K137" t="inlineStr">
        <is>
          <t>C2:india</t>
        </is>
      </c>
      <c r="L137" t="inlineStr"/>
      <c r="M137" t="inlineStr"/>
    </row>
    <row r="138">
      <c r="A138" t="inlineStr">
        <is>
          <t>LM00301</t>
        </is>
      </c>
      <c r="B138" t="inlineStr">
        <is>
          <t>C2</t>
        </is>
      </c>
      <c r="C138" t="inlineStr">
        <is>
          <t>Dispossession by platformization: The rise of on-demand recycling in urban India</t>
        </is>
      </c>
      <c r="D138" t="n">
        <v>2023</v>
      </c>
      <c r="E138" t="inlineStr">
        <is>
          <t>Aman Luthra; Jake Lowe; Karina Ochoa Berkley</t>
        </is>
      </c>
      <c r="F138" t="inlineStr">
        <is>
          <t>Geoforum</t>
        </is>
      </c>
      <c r="G138" t="n">
        <v>14</v>
      </c>
      <c r="H138" t="inlineStr">
        <is>
          <t>10.1016/j.geoforum.2023.103731</t>
        </is>
      </c>
      <c r="I138" t="inlineStr">
        <is>
          <t>South Asia</t>
        </is>
      </c>
      <c r="J138" t="inlineStr">
        <is>
          <t>India</t>
        </is>
      </c>
      <c r="K138" t="inlineStr">
        <is>
          <t>C2:india; C2:recent</t>
        </is>
      </c>
      <c r="L138" t="inlineStr"/>
      <c r="M138" t="inlineStr"/>
    </row>
    <row r="139">
      <c r="A139" t="inlineStr">
        <is>
          <t>LM00302</t>
        </is>
      </c>
      <c r="B139" t="inlineStr">
        <is>
          <t>C2</t>
        </is>
      </c>
      <c r="C139" t="inlineStr">
        <is>
          <t>The spatial politics of platformization: Negotiating platform power in everyday taxi driving in Mumbai</t>
        </is>
      </c>
      <c r="D139" t="n">
        <v>2023</v>
      </c>
      <c r="E139" t="inlineStr">
        <is>
          <t>Tobias Kuttler</t>
        </is>
      </c>
      <c r="F139" t="inlineStr">
        <is>
          <t>Geoforum</t>
        </is>
      </c>
      <c r="G139" t="n">
        <v>13</v>
      </c>
      <c r="H139" t="inlineStr">
        <is>
          <t>10.1016/j.geoforum.2023.103890</t>
        </is>
      </c>
      <c r="I139" t="inlineStr">
        <is>
          <t>South Asia</t>
        </is>
      </c>
      <c r="J139" t="inlineStr">
        <is>
          <t>Mumbai</t>
        </is>
      </c>
      <c r="K139" t="inlineStr">
        <is>
          <t>C2:india; C2:recent</t>
        </is>
      </c>
      <c r="L139" t="inlineStr"/>
      <c r="M139" t="inlineStr"/>
    </row>
    <row r="140">
      <c r="A140" t="inlineStr">
        <is>
          <t>LM00294</t>
        </is>
      </c>
      <c r="B140" t="inlineStr">
        <is>
          <t>C2</t>
        </is>
      </c>
      <c r="C140" t="inlineStr">
        <is>
          <t>Sustaining urban labour markets: Situating migration and domestic work in India's ‘gig’ economy</t>
        </is>
      </c>
      <c r="D140" t="n">
        <v>2022</v>
      </c>
      <c r="E140" t="inlineStr">
        <is>
          <t>Ambika Tandon; Aayush Rathi</t>
        </is>
      </c>
      <c r="F140" t="inlineStr">
        <is>
          <t>Environment and Planning A Economy and Space</t>
        </is>
      </c>
      <c r="G140" t="n">
        <v>28</v>
      </c>
      <c r="H140" t="inlineStr">
        <is>
          <t>10.1177/0308518x221120822</t>
        </is>
      </c>
      <c r="I140" t="inlineStr">
        <is>
          <t>South Asia</t>
        </is>
      </c>
      <c r="J140" t="inlineStr">
        <is>
          <t>Bengaluru; Delhi; India</t>
        </is>
      </c>
      <c r="K140" t="inlineStr">
        <is>
          <t>C2:india</t>
        </is>
      </c>
      <c r="L140" t="inlineStr">
        <is>
          <t>Y</t>
        </is>
      </c>
      <c r="M140" t="inlineStr"/>
    </row>
    <row r="141">
      <c r="A141" t="inlineStr">
        <is>
          <t>LM00318</t>
        </is>
      </c>
      <c r="B141" t="inlineStr">
        <is>
          <t>C2</t>
        </is>
      </c>
      <c r="C141" t="inlineStr">
        <is>
          <t>Going on a ride with Lefebvre: everyday contestation of platform mobilities in Mumbai</t>
        </is>
      </c>
      <c r="D141" t="n">
        <v>2022</v>
      </c>
      <c r="E141" t="inlineStr">
        <is>
          <t>Tobias Kuttler</t>
        </is>
      </c>
      <c r="F141" t="inlineStr">
        <is>
          <t>Applied Mobilities</t>
        </is>
      </c>
      <c r="G141" t="n">
        <v>2</v>
      </c>
      <c r="H141" t="inlineStr">
        <is>
          <t>10.1080/23800127.2022.2140991</t>
        </is>
      </c>
      <c r="I141" t="inlineStr">
        <is>
          <t>Multi-region</t>
        </is>
      </c>
      <c r="J141" t="inlineStr">
        <is>
          <t>Europe; Mumbai; North America</t>
        </is>
      </c>
      <c r="K141" t="inlineStr">
        <is>
          <t>C2:india</t>
        </is>
      </c>
      <c r="L141" t="inlineStr"/>
      <c r="M141" t="inlineStr"/>
    </row>
    <row r="142">
      <c r="A142" t="inlineStr">
        <is>
          <t>LM00322</t>
        </is>
      </c>
      <c r="B142" t="inlineStr">
        <is>
          <t>C2</t>
        </is>
      </c>
      <c r="C142" t="inlineStr">
        <is>
          <t>PLATFORMISATION OF RIDE HAILING, FOOD DELIVERY AND DOMESTIC WORK SERVICES IN URBAN INDIA</t>
        </is>
      </c>
      <c r="D142" t="n">
        <v>2021</v>
      </c>
      <c r="E142" t="inlineStr">
        <is>
          <t>Simiran Lalvani; Sarah Zia; Anushree Gupta; Aayush Rathi</t>
        </is>
      </c>
      <c r="F142" t="inlineStr">
        <is>
          <t>AoIR Selected Papers of Internet Research</t>
        </is>
      </c>
      <c r="G142" t="n">
        <v>1</v>
      </c>
      <c r="H142" t="inlineStr">
        <is>
          <t>10.5210/spir.v2021i0.12129</t>
        </is>
      </c>
      <c r="I142" t="inlineStr">
        <is>
          <t>South Asia</t>
        </is>
      </c>
      <c r="J142" t="inlineStr">
        <is>
          <t>Bangalore; Delhi; India; Mumbai</t>
        </is>
      </c>
      <c r="K142" t="inlineStr">
        <is>
          <t>C2:india</t>
        </is>
      </c>
      <c r="L142" t="inlineStr">
        <is>
          <t>Y</t>
        </is>
      </c>
      <c r="M142" t="inlineStr"/>
    </row>
    <row r="143">
      <c r="A143" t="inlineStr">
        <is>
          <t>LM00304</t>
        </is>
      </c>
      <c r="B143" t="inlineStr">
        <is>
          <t>C2</t>
        </is>
      </c>
      <c r="C143" t="inlineStr">
        <is>
          <t>Spatiotemporal (In)justice in Digital Platforms: An Analysis of Food-Delivery Platforms in South India</t>
        </is>
      </c>
      <c r="D143" t="n">
        <v>2020</v>
      </c>
      <c r="E143" t="inlineStr">
        <is>
          <t>Shyam Krishna</t>
        </is>
      </c>
      <c r="F143" t="inlineStr">
        <is>
          <t>IFIP advances in information and communication technology</t>
        </is>
      </c>
      <c r="G143" t="n">
        <v>10</v>
      </c>
      <c r="H143" t="inlineStr">
        <is>
          <t>10.1007/978-3-030-64697-4_11</t>
        </is>
      </c>
      <c r="I143" t="inlineStr">
        <is>
          <t>South Asia</t>
        </is>
      </c>
      <c r="J143" t="inlineStr">
        <is>
          <t>India</t>
        </is>
      </c>
      <c r="K143" t="inlineStr">
        <is>
          <t>C2:india</t>
        </is>
      </c>
      <c r="L143" t="inlineStr"/>
      <c r="M143" t="inlineStr"/>
    </row>
    <row r="144">
      <c r="A144" t="inlineStr">
        <is>
          <t>LM00312</t>
        </is>
      </c>
      <c r="B144" t="inlineStr">
        <is>
          <t>C2</t>
        </is>
      </c>
      <c r="C144" t="inlineStr">
        <is>
          <t>Between algorithms and the streets</t>
        </is>
      </c>
      <c r="D144" t="n">
        <v>2020</v>
      </c>
      <c r="E144" t="inlineStr">
        <is>
          <t>Anurag Mazumdar</t>
        </is>
      </c>
      <c r="F144" t="inlineStr">
        <is>
          <t>Routledge eBooks</t>
        </is>
      </c>
      <c r="G144" t="n">
        <v>4</v>
      </c>
      <c r="H144" t="inlineStr">
        <is>
          <t>10.4324/9780429319754-20</t>
        </is>
      </c>
      <c r="I144" t="inlineStr">
        <is>
          <t>South Asia</t>
        </is>
      </c>
      <c r="J144" t="inlineStr">
        <is>
          <t>India</t>
        </is>
      </c>
      <c r="K144" t="inlineStr">
        <is>
          <t>C2:india</t>
        </is>
      </c>
      <c r="L144" t="inlineStr"/>
      <c r="M144" t="inlineStr"/>
    </row>
    <row r="145">
      <c r="A145" t="inlineStr">
        <is>
          <t>LM00367</t>
        </is>
      </c>
      <c r="B145" t="inlineStr">
        <is>
          <t>C2</t>
        </is>
      </c>
      <c r="C145" t="inlineStr">
        <is>
          <t>Fairwork India Ratings 2020:Labour Standards in the Gig Economy</t>
        </is>
      </c>
      <c r="D145" t="n">
        <v>2020</v>
      </c>
      <c r="E145" t="inlineStr">
        <is>
          <t>Parthasarathy, Balaji; Srinivasan, Janaki; Neerukonda, Mounika; Taduri, Pradyumna; Ustek-Spilda, Funda; Vadekkethil, Aradhana Cherupara; Graham, Mark; Heeks, Richard; id_orcid 0000-0002-4551-2208</t>
        </is>
      </c>
      <c r="F145" t="inlineStr">
        <is>
          <t>Research Explorer (The University of Manchester)</t>
        </is>
      </c>
      <c r="G145" t="n">
        <v>0</v>
      </c>
      <c r="H145" t="inlineStr"/>
      <c r="I145" t="inlineStr">
        <is>
          <t>South Asia</t>
        </is>
      </c>
      <c r="J145" t="inlineStr">
        <is>
          <t>India</t>
        </is>
      </c>
      <c r="K145" t="inlineStr">
        <is>
          <t>C2:india</t>
        </is>
      </c>
      <c r="L145" t="inlineStr"/>
      <c r="M145" t="inlineStr"/>
    </row>
    <row r="146">
      <c r="A146" t="inlineStr">
        <is>
          <t>LM00321</t>
        </is>
      </c>
      <c r="B146" t="inlineStr">
        <is>
          <t>C2</t>
        </is>
      </c>
      <c r="C146" t="inlineStr">
        <is>
          <t>Digital Tools for Low-Income Housing in Indian Cities</t>
        </is>
      </c>
      <c r="D146" t="n">
        <v>2017</v>
      </c>
      <c r="E146" t="inlineStr">
        <is>
          <t>Rakhi Mehra; Maria Angela Ferrario; Swati Janu</t>
        </is>
      </c>
      <c r="F146" t="inlineStr">
        <is>
          <t>DOAJ (DOAJ: Directory of Open Access Journals)</t>
        </is>
      </c>
      <c r="G146" t="n">
        <v>2</v>
      </c>
      <c r="H146" t="inlineStr"/>
      <c r="I146" t="inlineStr">
        <is>
          <t>South Asia</t>
        </is>
      </c>
      <c r="J146" t="inlineStr">
        <is>
          <t>Delhi; India</t>
        </is>
      </c>
      <c r="K146" t="inlineStr">
        <is>
          <t>C2:india</t>
        </is>
      </c>
      <c r="L146" t="inlineStr">
        <is>
          <t>Y</t>
        </is>
      </c>
      <c r="M146" t="inlineStr"/>
    </row>
  </sheetData>
  <mergeCells count="1">
    <mergeCell ref="A1:M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3"/>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60" customWidth="1" min="3" max="3"/>
    <col width="7" customWidth="1" min="4" max="4"/>
    <col width="30" customWidth="1" min="5" max="5"/>
    <col width="28" customWidth="1" min="6" max="6"/>
    <col width="9" customWidth="1" min="7" max="7"/>
    <col width="26" customWidth="1" min="8" max="8"/>
    <col width="16" customWidth="1" min="9" max="9"/>
    <col width="22" customWidth="1" min="10" max="10"/>
    <col width="26" customWidth="1" min="11" max="11"/>
    <col width="30" customWidth="1" min="12" max="12"/>
  </cols>
  <sheetData>
    <row r="1" ht="32" customHeight="1">
      <c r="A1" s="2" t="inlineStr">
        <is>
          <t>Records touching the researcher's current leads (stations, waiting, night-time mobility, fare integration/NCMC, rail-led urbanism, elevated infrastructure, Haryana secondary cities). Tagging only; it does not affect search or screening.</t>
        </is>
      </c>
    </row>
    <row r="2">
      <c r="A2" s="4" t="inlineStr">
        <is>
          <t>ID</t>
        </is>
      </c>
      <c r="B2" s="4" t="inlineStr">
        <is>
          <t>Primary theme</t>
        </is>
      </c>
      <c r="C2" s="4" t="inlineStr">
        <is>
          <t>Title</t>
        </is>
      </c>
      <c r="D2" s="4" t="inlineStr">
        <is>
          <t>Year</t>
        </is>
      </c>
      <c r="E2" s="4" t="inlineStr">
        <is>
          <t>Authors</t>
        </is>
      </c>
      <c r="F2" s="4" t="inlineStr">
        <is>
          <t>Venue</t>
        </is>
      </c>
      <c r="G2" s="4" t="inlineStr">
        <is>
          <t>Cited-by count</t>
        </is>
      </c>
      <c r="H2" s="4" t="inlineStr">
        <is>
          <t>DOI</t>
        </is>
      </c>
      <c r="I2" s="4" t="inlineStr">
        <is>
          <t>Region</t>
        </is>
      </c>
      <c r="J2" s="4" t="inlineStr">
        <is>
          <t>Places studied</t>
        </is>
      </c>
      <c r="K2" s="4" t="inlineStr">
        <is>
          <t>Found in</t>
        </is>
      </c>
      <c r="L2" s="4" t="inlineStr">
        <is>
          <t>Shortlist tag</t>
        </is>
      </c>
    </row>
    <row r="3">
      <c r="A3" t="inlineStr">
        <is>
          <t>LM00032</t>
        </is>
      </c>
      <c r="B3" t="inlineStr">
        <is>
          <t>A9</t>
        </is>
      </c>
      <c r="C3" t="inlineStr">
        <is>
          <t>Requirements and design space for interactive public displays</t>
        </is>
      </c>
      <c r="D3" t="n">
        <v>2010</v>
      </c>
      <c r="E3" t="inlineStr">
        <is>
          <t>Jörg Müller; Florian Alt; Daniel Michelis; Albrecht Schmidt</t>
        </is>
      </c>
      <c r="F3" t="inlineStr">
        <is>
          <t>ACM International Conference on Multimedia (ACM MM)</t>
        </is>
      </c>
      <c r="G3" t="n">
        <v>399</v>
      </c>
      <c r="H3" t="inlineStr">
        <is>
          <t>10.1145/1873951.1874203</t>
        </is>
      </c>
      <c r="I3" t="inlineStr">
        <is>
          <t>Not place-specific</t>
        </is>
      </c>
      <c r="J3" t="inlineStr"/>
      <c r="K3" t="inlineStr">
        <is>
          <t>A9:landmarks</t>
        </is>
      </c>
      <c r="L3" t="inlineStr">
        <is>
          <t>train stations</t>
        </is>
      </c>
    </row>
  </sheetData>
  <mergeCells count="1">
    <mergeCell ref="A1:L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2026-10-08T09:16:26Z</dcterms:created>
  <dcterms:modified xmlns:dcterms="http://purl.org/dc/terms/" xmlns:xsi="http://www.w3.org/2001/XMLSchema-instance" xsi:type="dcterms:W3CDTF">2026-10-08T09:16:26Z</dcterms:modified>
</cp:coreProperties>
</file>